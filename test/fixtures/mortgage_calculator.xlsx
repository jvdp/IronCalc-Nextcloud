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📋 Overview" sheetId="3" r:id="rId1"/>
    <sheet name="📊 Amortization" sheetId="4" r:id="rId2"/>
  </sheets>
  <definedNames>
    <definedName name="Downpayment">'📋 Overview'!$C$6</definedName>
    <definedName name="HomePrice">'📋 Overview'!$C$5</definedName>
    <definedName name="InterestRate">'📋 Overview'!$C$8</definedName>
    <definedName name="LoanAmount">'📋 Overview'!$C$7</definedName>
    <definedName name="LoanPeriod">'📋 Overview'!$C$9</definedName>
    <definedName name="MonthlyPayment">'📋 Overview'!$C$11</definedName>
  </definedNames>
  <calcPr/>
</workbook>
</file>

<file path=xl/sharedStrings.xml><?xml version="1.0" encoding="utf-8"?>
<sst xmlns="http://schemas.openxmlformats.org/spreadsheetml/2006/main" count="20" uniqueCount="20">
  <si>
    <t>Home price</t>
  </si>
  <si>
    <t>Loan amount</t>
  </si>
  <si>
    <t/>
  </si>
  <si>
    <t>Loan period</t>
  </si>
  <si>
    <t>Total monthly payment</t>
  </si>
  <si>
    <t>Total interest paid</t>
  </si>
  <si>
    <t>Period</t>
  </si>
  <si>
    <t>Payment</t>
  </si>
  <si>
    <t>Interest</t>
  </si>
  <si>
    <t>Principal</t>
  </si>
  <si>
    <t>Total amount paid</t>
  </si>
  <si>
    <t>Downpayment (optional)</t>
  </si>
  <si>
    <t>Estimate your monthly mortgage payments and explore how different loan conditions affect your repayment</t>
  </si>
  <si>
    <t>Starting date</t>
  </si>
  <si>
    <t>📊 Amortization schedule</t>
  </si>
  <si>
    <t>Track how each payment is split between interest and principal, and see how your loan balance decreases over time.</t>
  </si>
  <si>
    <t>Opening balance</t>
  </si>
  <si>
    <t>Closing balance</t>
  </si>
  <si>
    <t>📋 Mortgage calculator</t>
  </si>
  <si>
    <t>Interest rate %</t>
  </si>
</sst>
</file>

<file path=xl/styles.xml><?xml version="1.0" encoding="utf-8"?>
<styleSheet xmlns="http://schemas.openxmlformats.org/spreadsheetml/2006/main">
  <numFmts count="9">
    <numFmt numFmtId="167" formatCode="0.0%"/>
    <numFmt numFmtId="168" formatCode="#,##0.00%"/>
    <numFmt numFmtId="170" formatCode="#\ ##0&quot; years&quot;"/>
    <numFmt numFmtId="171" formatCode="\€#,##0.00"/>
    <numFmt numFmtId="174" formatCode="#\ ##0&quot; €&quot;"/>
    <numFmt numFmtId="176" formatCode="#\ ##0.00&quot; €&quot;"/>
    <numFmt numFmtId="179" formatCode="dd/mm/yyyy"/>
    <numFmt numFmtId="181" formatCode="mmmm\ yyyy"/>
    <numFmt numFmtId="184" formatCode="dd&quot;/&quot;mm&quot;/&quot;yyyy"/>
  </numFmts>
  <fonts count="10">
    <font>
      <sz val="13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3"/>
      <color rgb="FF000000"/>
      <name val="Aptos Narrow"/>
      <b/>
      <family val="2"/>
      <scheme val="minor"/>
    </font>
    <font>
      <sz val="16"/>
      <color rgb="FF000000"/>
      <name val="Aptos Narrow"/>
      <b/>
      <family val="2"/>
      <scheme val="minor"/>
    </font>
    <font>
      <sz val="13"/>
      <color rgb="FF757575"/>
      <name val="Aptos Narrow"/>
      <family val="2"/>
      <scheme val="minor"/>
    </font>
    <font>
      <sz val="17"/>
      <color rgb="FF000000"/>
      <name val="Aptos Narrow"/>
      <b/>
      <family val="2"/>
      <scheme val="minor"/>
    </font>
    <font>
      <sz val="18"/>
      <color rgb="FF000000"/>
      <name val="Aptos Narrow"/>
      <b/>
      <family val="2"/>
      <scheme val="minor"/>
    </font>
    <font>
      <sz val="13"/>
      <color rgb="FF9E9E9E"/>
      <name val="Aptos Narrow"/>
      <i/>
      <family val="2"/>
      <scheme val="minor"/>
    </font>
    <font>
      <sz val="19"/>
      <color rgb="FF000000"/>
      <name val="Aptos Narrow"/>
      <family val="2"/>
      <scheme val="minor"/>
    </font>
    <font>
      <sz val="12"/>
      <color rgb="FF9E9E9E"/>
      <name val="Aptos Narrow"/>
      <i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BE0C9"/>
      </patternFill>
    </fill>
  </fills>
  <borders count="15">
    <border>
      <left/>
      <right/>
      <top/>
      <bottom/>
      <diagonal/>
    </border>
    <border>
      <left/>
      <right/>
      <top/>
      <bottom style="thin">
        <color rgb="FF272525"/>
      </bottom>
      <diagonal/>
    </border>
    <border>
      <left style="thin">
        <color rgb="FFF9D764"/>
      </left>
      <right/>
      <top/>
      <bottom/>
      <diagonal/>
    </border>
    <border>
      <left/>
      <right/>
      <top style="thin">
        <color rgb="FFF9D764"/>
      </top>
      <bottom/>
      <diagonal/>
    </border>
    <border>
      <left/>
      <right/>
      <top/>
      <bottom style="thin">
        <color rgb="FFF9D764"/>
      </bottom>
      <diagonal/>
    </border>
    <border>
      <left/>
      <right/>
      <top style="thin">
        <color rgb="FF272525"/>
      </top>
      <bottom style="thin">
        <color rgb="FF272525"/>
      </bottom>
      <diagonal/>
    </border>
    <border>
      <left style="thin">
        <color rgb="FFF2994A"/>
      </left>
      <right style="thin">
        <color rgb="FFF2994A"/>
      </right>
      <top style="thin">
        <color rgb="FFF2994A"/>
      </top>
      <bottom style="thin">
        <color rgb="FFF2994A"/>
      </bottom>
      <diagonal/>
    </border>
    <border>
      <left/>
      <right/>
      <top style="thin">
        <color rgb="FFF2994A"/>
      </top>
      <bottom style="thin">
        <color rgb="FFF2994A"/>
      </bottom>
      <diagonal/>
    </border>
    <border>
      <left style="thin">
        <color rgb="FF272525"/>
      </left>
      <right/>
      <top style="thin">
        <color rgb="FF272525"/>
      </top>
      <bottom style="thin">
        <color rgb="FF272525"/>
      </bottom>
      <diagonal/>
    </border>
    <border>
      <left/>
      <right style="thin">
        <color rgb="FF272525"/>
      </right>
      <top style="thin">
        <color rgb="FF272525"/>
      </top>
      <bottom style="thin">
        <color rgb="FF272525"/>
      </bottom>
      <diagonal/>
    </border>
    <border>
      <left style="thin">
        <color rgb="FF272525"/>
      </left>
      <right/>
      <top style="thin">
        <color rgb="FF272525"/>
      </top>
      <bottom/>
      <diagonal/>
    </border>
    <border>
      <left/>
      <right style="thin">
        <color rgb="FF272525"/>
      </right>
      <top style="thin">
        <color rgb="FF272525"/>
      </top>
      <bottom/>
      <diagonal/>
    </border>
    <border>
      <left style="thin">
        <color rgb="FF272525"/>
      </left>
      <right/>
      <top/>
      <bottom style="thin">
        <color rgb="FF272525"/>
      </bottom>
      <diagonal/>
    </border>
    <border>
      <left/>
      <right style="thin">
        <color rgb="FF272525"/>
      </right>
      <top/>
      <bottom style="thin">
        <color rgb="FF272525"/>
      </bottom>
      <diagonal/>
    </border>
    <border>
      <left/>
      <right style="thin">
        <color rgb="FFF2994A"/>
      </right>
      <top/>
      <bottom/>
      <diagonal/>
    </border>
  </borders>
  <cellStyleXfs count="1">
    <xf borderId="0" fillId="0" fontId="0" numFmtId="0" applyAlignment="1" applyFont="1" applyFill="1"/>
  </cellStyleXfs>
  <cellXfs count="43">
    <xf xfId="0" borderId="0" fillId="0" fontId="0" numFmtId="0"/>
    <xf xfId="0" borderId="0" fillId="0" fontId="0" numFmtId="176"/>
    <xf xfId="0" borderId="0" fillId="0" fontId="0" numFmtId="179"/>
    <xf xfId="0" borderId="0" fillId="0" fontId="0" numFmtId="0" applyAlignment="1">
      <alignment horizontal="left"/>
    </xf>
    <xf xfId="0" borderId="0" fillId="0" fontId="0" numFmtId="184"/>
    <xf xfId="0" borderId="2" fillId="0" fontId="0" numFmtId="167" applyAlignment="1">
      <alignment vertical="center"/>
    </xf>
    <xf xfId="0" borderId="0" fillId="0" fontId="7" numFmtId="0" applyAlignment="1" applyFont="1">
      <alignment vertical="center"/>
    </xf>
    <xf xfId="0" borderId="0" fillId="0" fontId="0" numFmtId="0" applyAlignment="1">
      <alignment vertical="center"/>
    </xf>
    <xf xfId="0" borderId="2" fillId="0" fontId="0" numFmtId="168" applyAlignment="1">
      <alignment vertical="center"/>
    </xf>
    <xf xfId="0" borderId="3" fillId="0" fontId="0" numFmtId="0" applyAlignment="1">
      <alignment vertical="center"/>
    </xf>
    <xf xfId="0" borderId="0" fillId="0" fontId="3" numFmtId="0" applyAlignment="1" applyFont="1">
      <alignment vertical="center"/>
    </xf>
    <xf xfId="0" borderId="0" fillId="0" fontId="0" numFmtId="171" applyAlignment="1">
      <alignment vertical="center"/>
    </xf>
    <xf xfId="0" borderId="4" fillId="0" fontId="0" numFmtId="0" applyAlignment="1">
      <alignment vertical="center"/>
    </xf>
    <xf xfId="0" borderId="0" fillId="0" fontId="2" numFmtId="0" applyAlignment="1" applyFont="1">
      <alignment vertical="center"/>
    </xf>
    <xf xfId="0" borderId="0" fillId="2" fontId="6" numFmtId="0" applyAlignment="1" applyFont="1" applyFill="1">
      <alignment vertical="center"/>
    </xf>
    <xf xfId="0" borderId="0" fillId="2" fontId="0" numFmtId="0" applyAlignment="1" applyFill="1">
      <alignment vertical="center"/>
    </xf>
    <xf xfId="0" borderId="0" fillId="2" fontId="4" numFmtId="0" applyAlignment="1" applyFont="1" applyFill="1">
      <alignment wrapText="1" vertical="center"/>
    </xf>
    <xf xfId="0" borderId="0" fillId="0" fontId="8" numFmtId="0" applyFont="1"/>
    <xf xfId="0" borderId="0" fillId="2" fontId="0" numFmtId="0" applyFill="1"/>
    <xf xfId="0" borderId="0" fillId="2" fontId="4" numFmtId="0" applyAlignment="1" applyFont="1" applyFill="1">
      <alignment horizontal="left" vertical="top"/>
    </xf>
    <xf xfId="0" borderId="0" fillId="0" fontId="0" numFmtId="181" applyAlignment="1">
      <alignment horizontal="left" vertical="center"/>
    </xf>
    <xf xfId="0" borderId="0" fillId="0" fontId="0" numFmtId="176" applyAlignment="1">
      <alignment vertical="center"/>
    </xf>
    <xf xfId="0" borderId="1" fillId="0" fontId="2" numFmtId="0" applyAlignment="1" applyFont="1">
      <alignment horizontal="left" vertical="center"/>
    </xf>
    <xf xfId="0" borderId="5" fillId="0" fontId="0" numFmtId="181" applyAlignment="1">
      <alignment horizontal="left" vertical="center"/>
    </xf>
    <xf xfId="0" borderId="5" fillId="0" fontId="0" numFmtId="176" applyAlignment="1">
      <alignment vertical="center"/>
    </xf>
    <xf xfId="0" borderId="1" fillId="0" fontId="2" numFmtId="0" applyAlignment="1" applyFont="1">
      <alignment horizontal="right" vertical="center"/>
    </xf>
    <xf xfId="0" borderId="1" fillId="0" fontId="2" numFmtId="176" applyAlignment="1" applyFont="1">
      <alignment horizontal="right" vertical="center"/>
    </xf>
    <xf xfId="0" borderId="6" fillId="3" fontId="0" numFmtId="174" applyAlignment="1" applyFill="1">
      <alignment vertical="center"/>
    </xf>
    <xf xfId="0" borderId="6" fillId="3" fontId="0" numFmtId="0" applyAlignment="1" applyFill="1">
      <alignment vertical="center"/>
    </xf>
    <xf xfId="0" borderId="6" fillId="3" fontId="0" numFmtId="170" applyAlignment="1" applyFill="1">
      <alignment vertical="center"/>
    </xf>
    <xf xfId="0" borderId="6" fillId="3" fontId="0" numFmtId="184" applyAlignment="1" applyFill="1">
      <alignment vertical="center"/>
    </xf>
    <xf xfId="0" borderId="7" fillId="3" fontId="0" numFmtId="174" applyAlignment="1" applyFill="1">
      <alignment vertical="center"/>
    </xf>
    <xf xfId="0" borderId="8" fillId="0" fontId="5" numFmtId="0" applyAlignment="1" applyFont="1">
      <alignment vertical="center"/>
    </xf>
    <xf xfId="0" borderId="9" fillId="2" fontId="5" numFmtId="176" applyAlignment="1" applyFont="1" applyFill="1">
      <alignment vertical="center"/>
    </xf>
    <xf xfId="0" borderId="11" fillId="2" fontId="0" numFmtId="176" applyAlignment="1" applyFill="1">
      <alignment vertical="center"/>
    </xf>
    <xf xfId="0" borderId="13" fillId="2" fontId="0" numFmtId="176" applyAlignment="1" applyFill="1">
      <alignment vertical="center"/>
    </xf>
    <xf xfId="0" borderId="0" fillId="2" fontId="6" numFmtId="0" applyAlignment="1" applyFont="1" applyFill="1">
      <alignment horizontal="left" vertical="center"/>
    </xf>
    <xf xfId="0" borderId="14" fillId="0" fontId="2" numFmtId="0" applyAlignment="1" applyFont="1">
      <alignment horizontal="left" vertical="center"/>
    </xf>
    <xf xfId="0" borderId="14" fillId="0" fontId="2" numFmtId="0" applyAlignment="1" applyFont="1">
      <alignment vertical="center"/>
    </xf>
    <xf xfId="0" borderId="10" fillId="0" fontId="2" numFmtId="0" applyAlignment="1" applyFont="1">
      <alignment vertical="center"/>
    </xf>
    <xf xfId="0" borderId="12" fillId="0" fontId="2" numFmtId="0" applyAlignment="1" applyFont="1">
      <alignment vertical="center"/>
    </xf>
    <xf xfId="0" borderId="0" fillId="0" fontId="9" numFmtId="0" applyAlignment="1" applyFont="1">
      <alignment vertical="center"/>
    </xf>
    <xf xfId="0" borderId="0" fillId="0" fontId="1" numFmt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GridLines="0" tabSelected="1">
      <selection activeCell="C11" sqref="C11"/>
    </sheetView>
  </sheetViews>
  <cols>
    <col min="1" max="1" width="2.140625" customWidth="1"/>
    <col min="2" max="2" width="28.140625" customWidth="1"/>
    <col min="3" max="3" width="13.5703125" customWidth="1"/>
    <col min="4" max="4" width="1.7109375" customWidth="1"/>
    <col min="5" max="5" width="12.140625" customWidth="1"/>
  </cols>
  <sheetData>
    <row r="1" s="0" ht="13" customHeight="1" customFormat="0">
      <c r="B1" t="s" s="7">
        <v>2</v>
      </c>
      <c r="C1" t="s" s="7">
        <v>2</v>
      </c>
      <c r="D1" t="s" s="7">
        <v>2</v>
      </c>
      <c r="E1" t="s" s="7">
        <v>2</v>
      </c>
    </row>
    <row r="2" s="0" ht="20.5" customHeight="1" customFormat="0">
      <c r="A2" s="17"/>
      <c r="B2" t="s" s="14">
        <v>18</v>
      </c>
      <c r="C2" s="15"/>
      <c r="D2" t="s" s="7">
        <v>2</v>
      </c>
      <c r="E2" t="s" s="7">
        <v>2</v>
      </c>
    </row>
    <row r="3" s="0" ht="35" customHeight="1" customFormat="0">
      <c r="A3" t="s">
        <v>2</v>
      </c>
      <c r="B3" t="s" s="16">
        <v>12</v>
      </c>
      <c r="C3" t="s" s="15">
        <v>2</v>
      </c>
      <c r="D3" t="s" s="7">
        <v>2</v>
      </c>
      <c r="E3" t="s" s="7">
        <v>2</v>
      </c>
    </row>
    <row r="4" s="0" ht="22" customHeight="0" customFormat="0">
      <c r="A4" t="s">
        <v>2</v>
      </c>
      <c r="B4" t="s" s="10">
        <v>2</v>
      </c>
      <c r="C4" t="s" s="12">
        <v>2</v>
      </c>
      <c r="D4" t="s" s="7">
        <v>2</v>
      </c>
      <c r="E4" t="s" s="7">
        <v>2</v>
      </c>
    </row>
    <row r="5" s="0" ht="18" customHeight="0" customFormat="0">
      <c r="A5" t="s">
        <v>2</v>
      </c>
      <c r="B5" t="s" s="38">
        <v>0</v>
      </c>
      <c r="C5" s="27">
        <v>400000</v>
      </c>
      <c r="D5" t="s" s="7">
        <v>2</v>
      </c>
      <c r="E5" t="s" s="7">
        <v>2</v>
      </c>
    </row>
    <row r="6" s="0" ht="18" customHeight="0" customFormat="0">
      <c r="A6" t="s">
        <v>2</v>
      </c>
      <c r="B6" t="s" s="38">
        <v>11</v>
      </c>
      <c r="C6" s="27">
        <v>150000</v>
      </c>
      <c r="D6" t="s" s="5">
        <v>2</v>
      </c>
      <c r="E6" t="str" s="41">
        <f>TEXT(C6/C5,"0.00%")&amp;" of total price"</f>
        <v>37.50% of total price</v>
      </c>
      <c r="F6" t="s">
        <v>2</v>
      </c>
    </row>
    <row r="7" s="0" ht="18" customHeight="0" customFormat="0">
      <c r="B7" t="s" s="13">
        <v>1</v>
      </c>
      <c r="C7" s="31">
        <f>HomePrice-Downpayment</f>
        <v>250000</v>
      </c>
      <c r="D7" t="s" s="7">
        <v>2</v>
      </c>
      <c r="E7" t="s" s="42">
        <v>2</v>
      </c>
      <c r="F7" t="s">
        <v>2</v>
      </c>
    </row>
    <row r="8" s="0" ht="18" customHeight="0" customFormat="0">
      <c r="A8" t="s">
        <v>2</v>
      </c>
      <c r="B8" t="s" s="38">
        <v>19</v>
      </c>
      <c r="C8" s="28">
        <v>2.55</v>
      </c>
      <c r="D8" t="s" s="8">
        <v>2</v>
      </c>
      <c r="E8" t="str" s="41">
        <f>TEXT(C8/12,"0.00%")&amp;" monthly rate"</f>
        <v>21.25% monthly rate</v>
      </c>
    </row>
    <row r="9" s="0" ht="18" customHeight="0" customFormat="0">
      <c r="A9" t="s">
        <v>2</v>
      </c>
      <c r="B9" t="s" s="38">
        <v>3</v>
      </c>
      <c r="C9" s="29">
        <v>12</v>
      </c>
      <c r="D9" t="s" s="8">
        <v>2</v>
      </c>
      <c r="E9" t="s" s="6">
        <v>2</v>
      </c>
      <c r="F9" t="s">
        <v>2</v>
      </c>
    </row>
    <row r="10" s="0" ht="18" customHeight="0" customFormat="0">
      <c r="A10" t="s">
        <v>2</v>
      </c>
      <c r="B10" t="s" s="7">
        <v>2</v>
      </c>
      <c r="C10" t="s" s="9">
        <v>2</v>
      </c>
      <c r="D10" t="s" s="7">
        <v>2</v>
      </c>
      <c r="E10" t="s" s="7">
        <v>2</v>
      </c>
    </row>
    <row r="11" s="0" ht="26.5" customHeight="1" customFormat="0">
      <c r="A11" t="s">
        <v>2</v>
      </c>
      <c r="B11" t="s" s="32">
        <v>4</v>
      </c>
      <c r="C11" s="33">
        <f>PMT(InterestRate/100/12,LoanPeriod*12,-LoanAmount)</f>
        <v>2017.0915511034575</v>
      </c>
      <c r="D11" t="s" s="7">
        <v>2</v>
      </c>
      <c r="E11" t="s" s="7">
        <v>2</v>
      </c>
    </row>
    <row r="12" s="0" ht="8" customHeight="1" customFormat="0">
      <c r="A12" t="s">
        <v>2</v>
      </c>
      <c r="B12" t="s" s="7">
        <v>2</v>
      </c>
      <c r="C12" t="s" s="11">
        <v>2</v>
      </c>
      <c r="D12" t="s" s="7">
        <v>2</v>
      </c>
      <c r="E12" t="s" s="7">
        <v>2</v>
      </c>
    </row>
    <row r="13" s="0" ht="18" customHeight="0" customFormat="0">
      <c r="A13" t="s">
        <v>2</v>
      </c>
      <c r="B13" t="s" s="39">
        <v>10</v>
      </c>
      <c r="C13" s="34">
        <f>MonthlyPayment*LoanPeriod*12</f>
        <v>290461.1833588979</v>
      </c>
      <c r="D13" t="s" s="7">
        <v>2</v>
      </c>
      <c r="E13" t="s" s="7">
        <v>2</v>
      </c>
    </row>
    <row r="14" s="0" ht="18" customHeight="0" customFormat="0">
      <c r="A14" t="s">
        <v>2</v>
      </c>
      <c r="B14" t="s" s="40">
        <v>5</v>
      </c>
      <c r="C14" s="35">
        <f>C13-LoanAmount</f>
        <v>40461.18335889792</v>
      </c>
      <c r="D14" t="s" s="7">
        <v>2</v>
      </c>
      <c r="E14" t="s" s="7">
        <v>2</v>
      </c>
    </row>
    <row r="15" s="0" ht="18" customHeight="0" customFormat="0">
      <c r="A15" t="s">
        <v>2</v>
      </c>
      <c r="B15" t="s" s="7">
        <v>2</v>
      </c>
      <c r="C15" t="s" s="7">
        <v>2</v>
      </c>
      <c r="D15" t="s" s="7">
        <v>2</v>
      </c>
      <c r="E15" t="s" s="7">
        <v>2</v>
      </c>
    </row>
    <row r="16" s="0" ht="18" customHeight="0" customFormat="0">
      <c r="A16" t="s">
        <v>2</v>
      </c>
      <c r="B16" t="s" s="13">
        <v>2</v>
      </c>
      <c r="C16" t="s" s="7">
        <v>2</v>
      </c>
      <c r="D16" t="s" s="7">
        <v>2</v>
      </c>
      <c r="E16" t="s" s="7">
        <v>2</v>
      </c>
    </row>
    <row r="17" s="0" ht="18" customHeight="0" customFormat="0">
      <c r="A17" t="s">
        <v>2</v>
      </c>
      <c r="B17" t="s">
        <v>2</v>
      </c>
      <c r="C17" t="s" s="1">
        <v>2</v>
      </c>
      <c r="D17" t="s">
        <v>2</v>
      </c>
      <c r="E17" t="s">
        <v>2</v>
      </c>
    </row>
    <row r="18" s="0" ht="18" customHeight="0" customFormat="0">
      <c r="A18" t="s">
        <v>2</v>
      </c>
      <c r="B18" t="s">
        <v>2</v>
      </c>
      <c r="C18" t="s" s="1">
        <v>2</v>
      </c>
      <c r="D18" t="s">
        <v>2</v>
      </c>
      <c r="E18" t="s">
        <v>2</v>
      </c>
    </row>
    <row r="19" s="0" ht="18" customHeight="0" customFormat="0">
      <c r="A19" t="s">
        <v>2</v>
      </c>
      <c r="B19" t="s">
        <v>2</v>
      </c>
      <c r="C19" t="s" s="1">
        <v>2</v>
      </c>
      <c r="D19" t="s">
        <v>2</v>
      </c>
      <c r="E19" t="s">
        <v>2</v>
      </c>
    </row>
    <row r="20" s="0" ht="18" customHeight="0" customFormat="0">
      <c r="A20" t="s">
        <v>2</v>
      </c>
      <c r="B20" t="s">
        <v>2</v>
      </c>
      <c r="C20" t="s" s="1">
        <v>2</v>
      </c>
      <c r="D20" t="s">
        <v>2</v>
      </c>
      <c r="E20" t="s">
        <v>2</v>
      </c>
    </row>
    <row r="21" s="0" ht="18" customHeight="0" customFormat="0">
      <c r="A21" t="s">
        <v>2</v>
      </c>
      <c r="B21" t="s">
        <v>2</v>
      </c>
      <c r="C21" t="s" s="1">
        <v>2</v>
      </c>
      <c r="D21" t="s">
        <v>2</v>
      </c>
      <c r="E21" t="s">
        <v>2</v>
      </c>
    </row>
    <row r="22" s="0" ht="18" customHeight="0" customFormat="0">
      <c r="A22" t="s">
        <v>2</v>
      </c>
      <c r="B22" t="s">
        <v>2</v>
      </c>
      <c r="C22" t="s">
        <v>2</v>
      </c>
      <c r="D22" t="s">
        <v>2</v>
      </c>
      <c r="E22" t="s">
        <v>2</v>
      </c>
    </row>
    <row r="23" s="0" ht="18" customHeight="0" customFormat="0"/>
    <row r="24" s="0" ht="18" customHeight="0" customFormat="0"/>
    <row r="25" s="0" ht="18" customHeight="0" customFormat="0"/>
    <row r="26" s="0" ht="18" customHeight="0" customFormat="0"/>
    <row r="27" s="0" ht="18" customHeight="0" customFormat="0"/>
    <row r="28" s="0" ht="18" customHeight="0" customFormat="0"/>
    <row r="29" s="0" ht="18" customHeight="0" customFormat="0"/>
    <row r="30" s="0" ht="18" customHeight="0" customFormat="0"/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G217"/>
  <sheetViews>
    <sheetView workbookViewId="0" showGridLines="0">
      <selection activeCell="C7" sqref="C7"/>
    </sheetView>
  </sheetViews>
  <cols>
    <col min="1" max="1" width="2.140625" customWidth="1"/>
    <col min="2" max="2" width="24.7109375" customWidth="1"/>
    <col min="3" max="3" width="13.5703125" customWidth="1"/>
  </cols>
  <sheetData>
    <row r="1" s="0" ht="12.25" customHeight="1" customFormat="0">
      <c r="A1" t="s">
        <v>2</v>
      </c>
      <c r="B1" t="s" s="3">
        <v>2</v>
      </c>
      <c r="C1" t="s" s="4">
        <v>2</v>
      </c>
      <c r="D1" t="s" s="2">
        <v>2</v>
      </c>
      <c r="E1" t="s">
        <v>2</v>
      </c>
      <c r="F1" t="s">
        <v>2</v>
      </c>
      <c r="G1" t="s">
        <v>2</v>
      </c>
    </row>
    <row r="2" s="0" ht="20.75" customHeight="1" customFormat="0">
      <c r="A2" t="s">
        <v>2</v>
      </c>
      <c r="B2" t="s" s="36">
        <v>14</v>
      </c>
      <c r="C2" s="18"/>
      <c r="D2" s="18"/>
      <c r="E2" s="18"/>
      <c r="F2" t="s" s="18">
        <v>2</v>
      </c>
      <c r="G2" s="18"/>
    </row>
    <row r="3" s="0" ht="34.75" customHeight="1" customFormat="0">
      <c r="A3" t="s">
        <v>2</v>
      </c>
      <c r="B3" t="s" s="19">
        <v>15</v>
      </c>
      <c r="C3" s="18"/>
      <c r="D3" s="18"/>
      <c r="E3" s="18"/>
      <c r="F3" s="18"/>
      <c r="G3" s="18"/>
    </row>
    <row r="4" s="0" ht="18" customHeight="0" customFormat="0">
      <c r="A4" t="s">
        <v>2</v>
      </c>
      <c r="B4" t="s" s="3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</row>
    <row r="5" s="0" ht="18" customHeight="0" customFormat="0">
      <c r="A5" t="s">
        <v>2</v>
      </c>
      <c r="B5" t="s" s="37">
        <v>13</v>
      </c>
      <c r="C5" s="30">
        <v>46023</v>
      </c>
      <c r="D5" t="s">
        <v>2</v>
      </c>
      <c r="E5" t="s">
        <v>2</v>
      </c>
      <c r="F5" t="s">
        <v>2</v>
      </c>
      <c r="G5" t="s">
        <v>2</v>
      </c>
    </row>
    <row r="6" s="0" ht="18" customHeight="0" customFormat="0">
      <c r="A6" t="s">
        <v>2</v>
      </c>
      <c r="B6" t="s" s="3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</row>
    <row r="7" s="0" ht="18" customHeight="0" customFormat="0">
      <c r="A7" t="s">
        <v>2</v>
      </c>
      <c r="B7" t="s" s="22">
        <v>6</v>
      </c>
      <c r="C7" t="s" s="22">
        <v>16</v>
      </c>
      <c r="D7" t="s" s="25">
        <v>7</v>
      </c>
      <c r="E7" t="s" s="26">
        <v>8</v>
      </c>
      <c r="F7" t="s" s="25">
        <v>9</v>
      </c>
      <c r="G7" t="s" s="25">
        <v>17</v>
      </c>
    </row>
    <row r="8" s="0" ht="18" customHeight="0" customFormat="0">
      <c r="A8" t="s">
        <v>2</v>
      </c>
      <c r="B8" s="23">
        <f>C5</f>
        <v>46023</v>
      </c>
      <c r="C8" s="24">
        <f>LoanAmount</f>
        <v>250000</v>
      </c>
      <c r="D8" s="24">
        <f>MonthlyPayment</f>
        <v>2017.0915511034575</v>
      </c>
      <c r="E8" s="24">
        <f>C8*InterestRate/100/12</f>
        <v>531.25</v>
      </c>
      <c r="F8" s="24">
        <f>D8-E8</f>
        <v>1485.8415511034575</v>
      </c>
      <c r="G8" s="24">
        <f>C8-F8</f>
        <v>248514.15844889655</v>
      </c>
    </row>
    <row r="9" s="0" ht="18" customHeight="0" customFormat="0">
      <c r="A9" t="s">
        <v>2</v>
      </c>
      <c r="B9" s="23">
        <f>IF(ROW(B9)&lt;LoanPeriod*12+ROW($B$9)-1,EDATE(B8,1)," ")</f>
        <v>46054</v>
      </c>
      <c r="C9" s="24">
        <f>IF(ROW(B9)&lt;LoanPeriod*12+ROW($B$9)-1,G8," ")</f>
        <v>248514.15844889655</v>
      </c>
      <c r="D9" s="24">
        <f>IF(ROW(C9)&lt;LoanPeriod*12+ROW($B$9)-1,MonthlyPayment," ")</f>
        <v>2017.0915511034575</v>
      </c>
      <c r="E9" s="24">
        <f>IF(ROW(C9)&lt;LoanPeriod*12+ROW($B$9)-1,C9*InterestRate/100/12," ")</f>
        <v>528.0925867039051</v>
      </c>
      <c r="F9" s="24">
        <f>IF(ROW(B9)&lt;LoanPeriod*12+ROW($B$9)-1,D9-E9," ")</f>
        <v>1488.9989643995523</v>
      </c>
      <c r="G9" s="24">
        <f>IF(ROW(C9)&lt;LoanPeriod*12+ROW($B$9)-1,C9-F9," ")</f>
        <v>247025.15948449698</v>
      </c>
    </row>
    <row r="10" s="0" ht="18" customHeight="0" customFormat="0">
      <c r="A10" t="s">
        <v>2</v>
      </c>
      <c r="B10" s="23">
        <f>IF(ROW(B10)&lt;LoanPeriod*12+ROW($B$9)-1,EDATE(B9,1)," ")</f>
        <v>46082</v>
      </c>
      <c r="C10" s="24">
        <f>IF(ROW(B10)&lt;LoanPeriod*12+ROW($B$9)-1,G9," ")</f>
        <v>247025.15948449698</v>
      </c>
      <c r="D10" s="24">
        <f>IF(ROW(C10)&lt;LoanPeriod*12+ROW($B$9)-1,MonthlyPayment," ")</f>
        <v>2017.0915511034575</v>
      </c>
      <c r="E10" s="24">
        <f>IF(ROW(C10)&lt;LoanPeriod*12+ROW($B$9)-1,C10*InterestRate/100/12," ")</f>
        <v>524.928463904556</v>
      </c>
      <c r="F10" s="24">
        <f>IF(ROW(B10)&lt;LoanPeriod*12+ROW($B$9)-1,D10-E10," ")</f>
        <v>1492.1630871989014</v>
      </c>
      <c r="G10" s="24">
        <f>IF(ROW(C10)&lt;LoanPeriod*12+ROW($B$9)-1,C10-F10," ")</f>
        <v>245532.9963972981</v>
      </c>
    </row>
    <row r="11" s="0" ht="18" customHeight="0" customFormat="0">
      <c r="A11" t="s">
        <v>2</v>
      </c>
      <c r="B11" s="23">
        <f>IF(ROW(B11)&lt;LoanPeriod*12+ROW($B$9)-1,EDATE(B10,1)," ")</f>
        <v>46113</v>
      </c>
      <c r="C11" s="24">
        <f>IF(ROW(B11)&lt;LoanPeriod*12+ROW($B$9)-1,G10," ")</f>
        <v>245532.9963972981</v>
      </c>
      <c r="D11" s="24">
        <f>IF(ROW(C11)&lt;LoanPeriod*12+ROW($B$9)-1,MonthlyPayment," ")</f>
        <v>2017.0915511034575</v>
      </c>
      <c r="E11" s="24">
        <f>IF(ROW(C11)&lt;LoanPeriod*12+ROW($B$9)-1,C11*InterestRate/100/12," ")</f>
        <v>521.7576173442584</v>
      </c>
      <c r="F11" s="24">
        <f>IF(ROW(B11)&lt;LoanPeriod*12+ROW($B$9)-1,D11-E11," ")</f>
        <v>1495.3339337591992</v>
      </c>
      <c r="G11" s="24">
        <f>IF(ROW(C11)&lt;LoanPeriod*12+ROW($B$9)-1,C11-F11," ")</f>
        <v>244037.6624635389</v>
      </c>
    </row>
    <row r="12" s="0" ht="18" customHeight="0" customFormat="0">
      <c r="A12" t="s">
        <v>2</v>
      </c>
      <c r="B12" s="23">
        <f>IF(ROW(B12)&lt;LoanPeriod*12+ROW($B$9)-1,EDATE(B11,1)," ")</f>
        <v>46143</v>
      </c>
      <c r="C12" s="24">
        <f>IF(ROW(B12)&lt;LoanPeriod*12+ROW($B$9)-1,G11," ")</f>
        <v>244037.6624635389</v>
      </c>
      <c r="D12" s="24">
        <f>IF(ROW(C12)&lt;LoanPeriod*12+ROW($B$9)-1,MonthlyPayment," ")</f>
        <v>2017.0915511034575</v>
      </c>
      <c r="E12" s="24">
        <f>IF(ROW(C12)&lt;LoanPeriod*12+ROW($B$9)-1,C12*InterestRate/100/12," ")</f>
        <v>518.5800327350202</v>
      </c>
      <c r="F12" s="24">
        <f>IF(ROW(B12)&lt;LoanPeriod*12+ROW($B$9)-1,D12-E12," ")</f>
        <v>1498.5115183684375</v>
      </c>
      <c r="G12" s="24">
        <f>IF(ROW(C12)&lt;LoanPeriod*12+ROW($B$9)-1,C12-F12," ")</f>
        <v>242539.15094517046</v>
      </c>
    </row>
    <row r="13" s="0" ht="18" customHeight="0" customFormat="0">
      <c r="A13" t="s">
        <v>2</v>
      </c>
      <c r="B13" s="23">
        <f>IF(ROW(B13)&lt;LoanPeriod*12+ROW($B$9)-1,EDATE(B12,1)," ")</f>
        <v>46174</v>
      </c>
      <c r="C13" s="24">
        <f>IF(ROW(B13)&lt;LoanPeriod*12+ROW($B$9)-1,G12," ")</f>
        <v>242539.15094517046</v>
      </c>
      <c r="D13" s="24">
        <f>IF(ROW(C13)&lt;LoanPeriod*12+ROW($B$9)-1,MonthlyPayment," ")</f>
        <v>2017.0915511034575</v>
      </c>
      <c r="E13" s="24">
        <f>IF(ROW(C13)&lt;LoanPeriod*12+ROW($B$9)-1,C13*InterestRate/100/12," ")</f>
        <v>515.3956957584872</v>
      </c>
      <c r="F13" s="24">
        <f>IF(ROW(B13)&lt;LoanPeriod*12+ROW($B$9)-1,D13-E13," ")</f>
        <v>1501.6958553449704</v>
      </c>
      <c r="G13" s="24">
        <f>IF(ROW(C13)&lt;LoanPeriod*12+ROW($B$9)-1,C13-F13," ")</f>
        <v>241037.4550898255</v>
      </c>
    </row>
    <row r="14" s="0" ht="18" customHeight="0" customFormat="0">
      <c r="A14" t="s">
        <v>2</v>
      </c>
      <c r="B14" s="23">
        <f>IF(ROW(B14)&lt;LoanPeriod*12+ROW($B$9)-1,EDATE(B13,1)," ")</f>
        <v>46204</v>
      </c>
      <c r="C14" s="24">
        <f>IF(ROW(B14)&lt;LoanPeriod*12+ROW($B$9)-1,G13," ")</f>
        <v>241037.4550898255</v>
      </c>
      <c r="D14" s="24">
        <f>IF(ROW(C14)&lt;LoanPeriod*12+ROW($B$9)-1,MonthlyPayment," ")</f>
        <v>2017.0915511034575</v>
      </c>
      <c r="E14" s="24">
        <f>IF(ROW(C14)&lt;LoanPeriod*12+ROW($B$9)-1,C14*InterestRate/100/12," ")</f>
        <v>512.2045920658792</v>
      </c>
      <c r="F14" s="24">
        <f>IF(ROW(B14)&lt;LoanPeriod*12+ROW($B$9)-1,D14-E14," ")</f>
        <v>1504.8869590375784</v>
      </c>
      <c r="G14" s="24">
        <f>IF(ROW(C14)&lt;LoanPeriod*12+ROW($B$9)-1,C14-F14," ")</f>
        <v>239532.56813078793</v>
      </c>
    </row>
    <row r="15" s="0" ht="18" customHeight="0" customFormat="0">
      <c r="A15" t="s">
        <v>2</v>
      </c>
      <c r="B15" s="23">
        <f>IF(ROW(B15)&lt;LoanPeriod*12+ROW($B$9)-1,EDATE(B14,1)," ")</f>
        <v>46235</v>
      </c>
      <c r="C15" s="24">
        <f>IF(ROW(B15)&lt;LoanPeriod*12+ROW($B$9)-1,G14," ")</f>
        <v>239532.56813078793</v>
      </c>
      <c r="D15" s="24">
        <f>IF(ROW(C15)&lt;LoanPeriod*12+ROW($B$9)-1,MonthlyPayment," ")</f>
        <v>2017.0915511034575</v>
      </c>
      <c r="E15" s="24">
        <f>IF(ROW(C15)&lt;LoanPeriod*12+ROW($B$9)-1,C15*InterestRate/100/12," ")</f>
        <v>509.0067072779243</v>
      </c>
      <c r="F15" s="24">
        <f>IF(ROW(B15)&lt;LoanPeriod*12+ROW($B$9)-1,D15-E15," ")</f>
        <v>1508.0848438255332</v>
      </c>
      <c r="G15" s="24">
        <f>IF(ROW(C15)&lt;LoanPeriod*12+ROW($B$9)-1,C15-F15," ")</f>
        <v>238024.4832869624</v>
      </c>
    </row>
    <row r="16" s="0" ht="18" customHeight="0" customFormat="0">
      <c r="A16" t="s">
        <v>2</v>
      </c>
      <c r="B16" s="23">
        <f>IF(ROW(B16)&lt;LoanPeriod*12+ROW($B$9)-1,EDATE(B15,1)," ")</f>
        <v>46266</v>
      </c>
      <c r="C16" s="24">
        <f>IF(ROW(B16)&lt;LoanPeriod*12+ROW($B$9)-1,G15," ")</f>
        <v>238024.4832869624</v>
      </c>
      <c r="D16" s="24">
        <f>IF(ROW(C16)&lt;LoanPeriod*12+ROW($B$9)-1,MonthlyPayment," ")</f>
        <v>2017.0915511034575</v>
      </c>
      <c r="E16" s="24">
        <f>IF(ROW(C16)&lt;LoanPeriod*12+ROW($B$9)-1,C16*InterestRate/100/12," ")</f>
        <v>505.802026984795</v>
      </c>
      <c r="F16" s="24">
        <f>IF(ROW(B16)&lt;LoanPeriod*12+ROW($B$9)-1,D16-E16," ")</f>
        <v>1511.2895241186625</v>
      </c>
      <c r="G16" s="24">
        <f>IF(ROW(C16)&lt;LoanPeriod*12+ROW($B$9)-1,C16-F16," ")</f>
        <v>236513.19376284376</v>
      </c>
    </row>
    <row r="17" s="0" ht="18" customHeight="0" customFormat="0">
      <c r="A17" t="s">
        <v>2</v>
      </c>
      <c r="B17" s="23">
        <f>IF(ROW(B17)&lt;LoanPeriod*12+ROW($B$9)-1,EDATE(B16,1)," ")</f>
        <v>46296</v>
      </c>
      <c r="C17" s="24">
        <f>IF(ROW(B17)&lt;LoanPeriod*12+ROW($B$9)-1,G16," ")</f>
        <v>236513.19376284376</v>
      </c>
      <c r="D17" s="24">
        <f>IF(ROW(C17)&lt;LoanPeriod*12+ROW($B$9)-1,MonthlyPayment," ")</f>
        <v>2017.0915511034575</v>
      </c>
      <c r="E17" s="24">
        <f>IF(ROW(C17)&lt;LoanPeriod*12+ROW($B$9)-1,C17*InterestRate/100/12," ")</f>
        <v>502.59053674604297</v>
      </c>
      <c r="F17" s="24">
        <f>IF(ROW(B17)&lt;LoanPeriod*12+ROW($B$9)-1,D17-E17," ")</f>
        <v>1514.5010143574145</v>
      </c>
      <c r="G17" s="24">
        <f>IF(ROW(C17)&lt;LoanPeriod*12+ROW($B$9)-1,C17-F17," ")</f>
        <v>234998.69274848636</v>
      </c>
    </row>
    <row r="18" s="0" ht="18" customHeight="0" customFormat="0">
      <c r="A18" t="s">
        <v>2</v>
      </c>
      <c r="B18" s="23">
        <f>IF(ROW(B18)&lt;LoanPeriod*12+ROW($B$9)-1,EDATE(B17,1)," ")</f>
        <v>46327</v>
      </c>
      <c r="C18" s="24">
        <f>IF(ROW(B18)&lt;LoanPeriod*12+ROW($B$9)-1,G17," ")</f>
        <v>234998.69274848636</v>
      </c>
      <c r="D18" s="24">
        <f>IF(ROW(C18)&lt;LoanPeriod*12+ROW($B$9)-1,MonthlyPayment," ")</f>
        <v>2017.0915511034575</v>
      </c>
      <c r="E18" s="24">
        <f>IF(ROW(C18)&lt;LoanPeriod*12+ROW($B$9)-1,C18*InterestRate/100/12," ")</f>
        <v>499.3722220905335</v>
      </c>
      <c r="F18" s="24">
        <f>IF(ROW(B18)&lt;LoanPeriod*12+ROW($B$9)-1,D18-E18," ")</f>
        <v>1517.719329012924</v>
      </c>
      <c r="G18" s="24">
        <f>IF(ROW(C18)&lt;LoanPeriod*12+ROW($B$9)-1,C18-F18," ")</f>
        <v>233480.97341947342</v>
      </c>
    </row>
    <row r="19" s="0" ht="18" customHeight="0" customFormat="0">
      <c r="A19" t="s">
        <v>2</v>
      </c>
      <c r="B19" s="23">
        <f>IF(ROW(B19)&lt;LoanPeriod*12+ROW($B$9)-1,EDATE(B18,1)," ")</f>
        <v>46357</v>
      </c>
      <c r="C19" s="24">
        <f>IF(ROW(B19)&lt;LoanPeriod*12+ROW($B$9)-1,G18," ")</f>
        <v>233480.97341947342</v>
      </c>
      <c r="D19" s="24">
        <f>IF(ROW(C19)&lt;LoanPeriod*12+ROW($B$9)-1,MonthlyPayment," ")</f>
        <v>2017.0915511034575</v>
      </c>
      <c r="E19" s="24">
        <f>IF(ROW(C19)&lt;LoanPeriod*12+ROW($B$9)-1,C19*InterestRate/100/12," ")</f>
        <v>496.147068516381</v>
      </c>
      <c r="F19" s="24">
        <f>IF(ROW(B19)&lt;LoanPeriod*12+ROW($B$9)-1,D19-E19," ")</f>
        <v>1520.9444825870764</v>
      </c>
      <c r="G19" s="24">
        <f>IF(ROW(C19)&lt;LoanPeriod*12+ROW($B$9)-1,C19-F19," ")</f>
        <v>231960.02893688635</v>
      </c>
    </row>
    <row r="20" s="0" ht="18" customHeight="0" customFormat="0">
      <c r="A20" t="s">
        <v>2</v>
      </c>
      <c r="B20" s="23">
        <f>IF(ROW(B20)&lt;LoanPeriod*12+ROW($B$9)-1,EDATE(B19,1)," ")</f>
        <v>46388</v>
      </c>
      <c r="C20" s="24">
        <f>IF(ROW(B20)&lt;LoanPeriod*12+ROW($B$9)-1,G19," ")</f>
        <v>231960.02893688635</v>
      </c>
      <c r="D20" s="24">
        <f>IF(ROW(C20)&lt;LoanPeriod*12+ROW($B$9)-1,MonthlyPayment," ")</f>
        <v>2017.0915511034575</v>
      </c>
      <c r="E20" s="24">
        <f>IF(ROW(C20)&lt;LoanPeriod*12+ROW($B$9)-1,C20*InterestRate/100/12," ")</f>
        <v>492.9150614908834</v>
      </c>
      <c r="F20" s="24">
        <f>IF(ROW(B20)&lt;LoanPeriod*12+ROW($B$9)-1,D20-E20," ")</f>
        <v>1524.1764896125742</v>
      </c>
      <c r="G20" s="24">
        <f>IF(ROW(C20)&lt;LoanPeriod*12+ROW($B$9)-1,C20-F20," ")</f>
        <v>230435.85244727376</v>
      </c>
    </row>
    <row r="21" s="0" ht="18" customHeight="0" customFormat="0">
      <c r="A21" t="s">
        <v>2</v>
      </c>
      <c r="B21" s="23">
        <f>IF(ROW(B21)&lt;LoanPeriod*12+ROW($B$9)-1,EDATE(B20,1)," ")</f>
        <v>46419</v>
      </c>
      <c r="C21" s="24">
        <f>IF(ROW(B21)&lt;LoanPeriod*12+ROW($B$9)-1,G20," ")</f>
        <v>230435.85244727376</v>
      </c>
      <c r="D21" s="24">
        <f>IF(ROW(C21)&lt;LoanPeriod*12+ROW($B$9)-1,MonthlyPayment," ")</f>
        <v>2017.0915511034575</v>
      </c>
      <c r="E21" s="24">
        <f>IF(ROW(C21)&lt;LoanPeriod*12+ROW($B$9)-1,C21*InterestRate/100/12," ")</f>
        <v>489.6761864504567</v>
      </c>
      <c r="F21" s="24">
        <f>IF(ROW(B21)&lt;LoanPeriod*12+ROW($B$9)-1,D21-E21," ")</f>
        <v>1527.4153646530008</v>
      </c>
      <c r="G21" s="24">
        <f>IF(ROW(C21)&lt;LoanPeriod*12+ROW($B$9)-1,C21-F21," ")</f>
        <v>228908.43708262077</v>
      </c>
    </row>
    <row r="22" s="0" ht="18" customHeight="0" customFormat="0">
      <c r="A22" t="s">
        <v>2</v>
      </c>
      <c r="B22" s="23">
        <f>IF(ROW(B22)&lt;LoanPeriod*12+ROW($B$9)-1,EDATE(B21,1)," ")</f>
        <v>46447</v>
      </c>
      <c r="C22" s="24">
        <f>IF(ROW(B22)&lt;LoanPeriod*12+ROW($B$9)-1,G21," ")</f>
        <v>228908.43708262077</v>
      </c>
      <c r="D22" s="24">
        <f>IF(ROW(C22)&lt;LoanPeriod*12+ROW($B$9)-1,MonthlyPayment," ")</f>
        <v>2017.0915511034575</v>
      </c>
      <c r="E22" s="24">
        <f>IF(ROW(C22)&lt;LoanPeriod*12+ROW($B$9)-1,C22*InterestRate/100/12," ")</f>
        <v>486.43042880056913</v>
      </c>
      <c r="F22" s="24">
        <f>IF(ROW(B22)&lt;LoanPeriod*12+ROW($B$9)-1,D22-E22," ")</f>
        <v>1530.6611223028883</v>
      </c>
      <c r="G22" s="24">
        <f>IF(ROW(C22)&lt;LoanPeriod*12+ROW($B$9)-1,C22-F22," ")</f>
        <v>227377.7759603179</v>
      </c>
    </row>
    <row r="23" s="0" ht="18" customHeight="0" customFormat="0">
      <c r="A23" t="s">
        <v>2</v>
      </c>
      <c r="B23" s="23">
        <f>IF(ROW(B23)&lt;LoanPeriod*12+ROW($B$9)-1,EDATE(B22,1)," ")</f>
        <v>46478</v>
      </c>
      <c r="C23" s="24">
        <f>IF(ROW(B23)&lt;LoanPeriod*12+ROW($B$9)-1,G22," ")</f>
        <v>227377.7759603179</v>
      </c>
      <c r="D23" s="24">
        <f>IF(ROW(C23)&lt;LoanPeriod*12+ROW($B$9)-1,MonthlyPayment," ")</f>
        <v>2017.0915511034575</v>
      </c>
      <c r="E23" s="24">
        <f>IF(ROW(C23)&lt;LoanPeriod*12+ROW($B$9)-1,C23*InterestRate/100/12," ")</f>
        <v>483.1777739156755</v>
      </c>
      <c r="F23" s="24">
        <f>IF(ROW(B23)&lt;LoanPeriod*12+ROW($B$9)-1,D23-E23," ")</f>
        <v>1533.913777187782</v>
      </c>
      <c r="G23" s="24">
        <f>IF(ROW(C23)&lt;LoanPeriod*12+ROW($B$9)-1,C23-F23," ")</f>
        <v>225843.8621831301</v>
      </c>
    </row>
    <row r="24" s="0" ht="18" customHeight="0" customFormat="0">
      <c r="A24" t="s">
        <v>2</v>
      </c>
      <c r="B24" s="23">
        <f>IF(ROW(B24)&lt;LoanPeriod*12+ROW($B$9)-1,EDATE(B23,1)," ")</f>
        <v>46508</v>
      </c>
      <c r="C24" s="24">
        <f>IF(ROW(B24)&lt;LoanPeriod*12+ROW($B$9)-1,G23," ")</f>
        <v>225843.8621831301</v>
      </c>
      <c r="D24" s="24">
        <f>IF(ROW(C24)&lt;LoanPeriod*12+ROW($B$9)-1,MonthlyPayment," ")</f>
        <v>2017.0915511034575</v>
      </c>
      <c r="E24" s="24">
        <f>IF(ROW(C24)&lt;LoanPeriod*12+ROW($B$9)-1,C24*InterestRate/100/12," ")</f>
        <v>479.91820713915143</v>
      </c>
      <c r="F24" s="24">
        <f>IF(ROW(B24)&lt;LoanPeriod*12+ROW($B$9)-1,D24-E24," ")</f>
        <v>1537.173343964306</v>
      </c>
      <c r="G24" s="24">
        <f>IF(ROW(C24)&lt;LoanPeriod*12+ROW($B$9)-1,C24-F24," ")</f>
        <v>224306.6888391658</v>
      </c>
    </row>
    <row r="25" s="0" ht="18" customHeight="0" customFormat="0">
      <c r="A25" t="s">
        <v>2</v>
      </c>
      <c r="B25" s="23">
        <f>IF(ROW(B25)&lt;LoanPeriod*12+ROW($B$9)-1,EDATE(B24,1)," ")</f>
        <v>46539</v>
      </c>
      <c r="C25" s="24">
        <f>IF(ROW(B25)&lt;LoanPeriod*12+ROW($B$9)-1,G24," ")</f>
        <v>224306.6888391658</v>
      </c>
      <c r="D25" s="24">
        <f>IF(ROW(C25)&lt;LoanPeriod*12+ROW($B$9)-1,MonthlyPayment," ")</f>
        <v>2017.0915511034575</v>
      </c>
      <c r="E25" s="24">
        <f>IF(ROW(C25)&lt;LoanPeriod*12+ROW($B$9)-1,C25*InterestRate/100/12," ")</f>
        <v>476.6517137832273</v>
      </c>
      <c r="F25" s="24">
        <f>IF(ROW(B25)&lt;LoanPeriod*12+ROW($B$9)-1,D25-E25," ")</f>
        <v>1540.4398373202303</v>
      </c>
      <c r="G25" s="24">
        <f>IF(ROW(C25)&lt;LoanPeriod*12+ROW($B$9)-1,C25-F25," ")</f>
        <v>222766.24900184557</v>
      </c>
    </row>
    <row r="26" s="0" ht="18" customHeight="0" customFormat="0">
      <c r="A26" t="s">
        <v>2</v>
      </c>
      <c r="B26" s="23">
        <f>IF(ROW(B26)&lt;LoanPeriod*12+ROW($B$9)-1,EDATE(B25,1)," ")</f>
        <v>46569</v>
      </c>
      <c r="C26" s="24">
        <f>IF(ROW(B26)&lt;LoanPeriod*12+ROW($B$9)-1,G25," ")</f>
        <v>222766.24900184557</v>
      </c>
      <c r="D26" s="24">
        <f>IF(ROW(C26)&lt;LoanPeriod*12+ROW($B$9)-1,MonthlyPayment," ")</f>
        <v>2017.0915511034575</v>
      </c>
      <c r="E26" s="24">
        <f>IF(ROW(C26)&lt;LoanPeriod*12+ROW($B$9)-1,C26*InterestRate/100/12," ")</f>
        <v>473.37827912892175</v>
      </c>
      <c r="F26" s="24">
        <f>IF(ROW(B26)&lt;LoanPeriod*12+ROW($B$9)-1,D26-E26," ")</f>
        <v>1543.7132719745357</v>
      </c>
      <c r="G26" s="24">
        <f>IF(ROW(C26)&lt;LoanPeriod*12+ROW($B$9)-1,C26-F26," ")</f>
        <v>221222.53572987104</v>
      </c>
    </row>
    <row r="27" s="0" ht="18" customHeight="0" customFormat="0">
      <c r="A27" t="s">
        <v>2</v>
      </c>
      <c r="B27" s="23">
        <f>IF(ROW(B27)&lt;LoanPeriod*12+ROW($B$9)-1,EDATE(B26,1)," ")</f>
        <v>46600</v>
      </c>
      <c r="C27" s="24">
        <f>IF(ROW(B27)&lt;LoanPeriod*12+ROW($B$9)-1,G26," ")</f>
        <v>221222.53572987104</v>
      </c>
      <c r="D27" s="24">
        <f>IF(ROW(C27)&lt;LoanPeriod*12+ROW($B$9)-1,MonthlyPayment," ")</f>
        <v>2017.0915511034575</v>
      </c>
      <c r="E27" s="24">
        <f>IF(ROW(C27)&lt;LoanPeriod*12+ROW($B$9)-1,C27*InterestRate/100/12," ")</f>
        <v>470.09788842597595</v>
      </c>
      <c r="F27" s="24">
        <f>IF(ROW(B27)&lt;LoanPeriod*12+ROW($B$9)-1,D27-E27," ")</f>
        <v>1546.9936626774816</v>
      </c>
      <c r="G27" s="24">
        <f>IF(ROW(C27)&lt;LoanPeriod*12+ROW($B$9)-1,C27-F27," ")</f>
        <v>219675.54206719357</v>
      </c>
    </row>
    <row r="28" s="0" ht="18" customHeight="0" customFormat="0">
      <c r="A28" t="s">
        <v>2</v>
      </c>
      <c r="B28" s="23">
        <f>IF(ROW(B28)&lt;LoanPeriod*12+ROW($B$9)-1,EDATE(B27,1)," ")</f>
        <v>46631</v>
      </c>
      <c r="C28" s="24">
        <f>IF(ROW(B28)&lt;LoanPeriod*12+ROW($B$9)-1,G27," ")</f>
        <v>219675.54206719357</v>
      </c>
      <c r="D28" s="24">
        <f>IF(ROW(C28)&lt;LoanPeriod*12+ROW($B$9)-1,MonthlyPayment," ")</f>
        <v>2017.0915511034575</v>
      </c>
      <c r="E28" s="24">
        <f>IF(ROW(C28)&lt;LoanPeriod*12+ROW($B$9)-1,C28*InterestRate/100/12," ")</f>
        <v>466.81052689278636</v>
      </c>
      <c r="F28" s="24">
        <f>IF(ROW(B28)&lt;LoanPeriod*12+ROW($B$9)-1,D28-E28," ")</f>
        <v>1550.2810242106711</v>
      </c>
      <c r="G28" s="24">
        <f>IF(ROW(C28)&lt;LoanPeriod*12+ROW($B$9)-1,C28-F28," ")</f>
        <v>218125.2610429829</v>
      </c>
    </row>
    <row r="29" s="0" ht="18" customHeight="0" customFormat="0">
      <c r="A29" t="s">
        <v>2</v>
      </c>
      <c r="B29" s="23">
        <f>IF(ROW(B29)&lt;LoanPeriod*12+ROW($B$9)-1,EDATE(B28,1)," ")</f>
        <v>46661</v>
      </c>
      <c r="C29" s="24">
        <f>IF(ROW(B29)&lt;LoanPeriod*12+ROW($B$9)-1,G28," ")</f>
        <v>218125.2610429829</v>
      </c>
      <c r="D29" s="24">
        <f>IF(ROW(C29)&lt;LoanPeriod*12+ROW($B$9)-1,MonthlyPayment," ")</f>
        <v>2017.0915511034575</v>
      </c>
      <c r="E29" s="24">
        <f>IF(ROW(C29)&lt;LoanPeriod*12+ROW($B$9)-1,C29*InterestRate/100/12," ")</f>
        <v>463.5161797163386</v>
      </c>
      <c r="F29" s="24">
        <f>IF(ROW(B29)&lt;LoanPeriod*12+ROW($B$9)-1,D29-E29," ")</f>
        <v>1553.5753713871188</v>
      </c>
      <c r="G29" s="24">
        <f>IF(ROW(C29)&lt;LoanPeriod*12+ROW($B$9)-1,C29-F29," ")</f>
        <v>216571.68567159577</v>
      </c>
    </row>
    <row r="30" s="0" ht="18" customHeight="0" customFormat="0">
      <c r="A30" t="s">
        <v>2</v>
      </c>
      <c r="B30" s="23">
        <f>IF(ROW(B30)&lt;LoanPeriod*12+ROW($B$9)-1,EDATE(B29,1)," ")</f>
        <v>46692</v>
      </c>
      <c r="C30" s="24">
        <f>IF(ROW(B30)&lt;LoanPeriod*12+ROW($B$9)-1,G29," ")</f>
        <v>216571.68567159577</v>
      </c>
      <c r="D30" s="24">
        <f>IF(ROW(C30)&lt;LoanPeriod*12+ROW($B$9)-1,MonthlyPayment," ")</f>
        <v>2017.0915511034575</v>
      </c>
      <c r="E30" s="24">
        <f>IF(ROW(C30)&lt;LoanPeriod*12+ROW($B$9)-1,C30*InterestRate/100/12," ")</f>
        <v>460.21483205214093</v>
      </c>
      <c r="F30" s="24">
        <f>IF(ROW(B30)&lt;LoanPeriod*12+ROW($B$9)-1,D30-E30," ")</f>
        <v>1556.8767190513165</v>
      </c>
      <c r="G30" s="24">
        <f>IF(ROW(C30)&lt;LoanPeriod*12+ROW($B$9)-1,C30-F30," ")</f>
        <v>215014.80895254447</v>
      </c>
    </row>
    <row r="31" s="0" ht="18" customHeight="0" customFormat="0">
      <c r="A31" t="s">
        <v>2</v>
      </c>
      <c r="B31" s="23">
        <f>IF(ROW(B31)&lt;LoanPeriod*12+ROW($B$9)-1,EDATE(B30,1)," ")</f>
        <v>46722</v>
      </c>
      <c r="C31" s="24">
        <f>IF(ROW(B31)&lt;LoanPeriod*12+ROW($B$9)-1,G30," ")</f>
        <v>215014.80895254447</v>
      </c>
      <c r="D31" s="24">
        <f>IF(ROW(C31)&lt;LoanPeriod*12+ROW($B$9)-1,MonthlyPayment," ")</f>
        <v>2017.0915511034575</v>
      </c>
      <c r="E31" s="24">
        <f>IF(ROW(C31)&lt;LoanPeriod*12+ROW($B$9)-1,C31*InterestRate/100/12," ")</f>
        <v>456.90646902415693</v>
      </c>
      <c r="F31" s="24">
        <f>IF(ROW(B31)&lt;LoanPeriod*12+ROW($B$9)-1,D31-E31," ")</f>
        <v>1560.1850820793006</v>
      </c>
      <c r="G31" s="24">
        <f>IF(ROW(C31)&lt;LoanPeriod*12+ROW($B$9)-1,C31-F31," ")</f>
        <v>213454.62387046518</v>
      </c>
    </row>
    <row r="32" s="0" ht="18" customHeight="0" customFormat="0">
      <c r="A32" t="s">
        <v>2</v>
      </c>
      <c r="B32" s="23">
        <f>IF(ROW(B32)&lt;LoanPeriod*12+ROW($B$9)-1,EDATE(B31,1)," ")</f>
        <v>46753</v>
      </c>
      <c r="C32" s="24">
        <f>IF(ROW(B32)&lt;LoanPeriod*12+ROW($B$9)-1,G31," ")</f>
        <v>213454.62387046518</v>
      </c>
      <c r="D32" s="24">
        <f>IF(ROW(C32)&lt;LoanPeriod*12+ROW($B$9)-1,MonthlyPayment," ")</f>
        <v>2017.0915511034575</v>
      </c>
      <c r="E32" s="24">
        <f>IF(ROW(C32)&lt;LoanPeriod*12+ROW($B$9)-1,C32*InterestRate/100/12," ")</f>
        <v>453.59107572473846</v>
      </c>
      <c r="F32" s="24">
        <f>IF(ROW(B32)&lt;LoanPeriod*12+ROW($B$9)-1,D32-E32," ")</f>
        <v>1563.500475378719</v>
      </c>
      <c r="G32" s="24">
        <f>IF(ROW(C32)&lt;LoanPeriod*12+ROW($B$9)-1,C32-F32," ")</f>
        <v>211891.12339508647</v>
      </c>
    </row>
    <row r="33" s="0" ht="18" customHeight="0" customFormat="0">
      <c r="A33" t="s">
        <v>2</v>
      </c>
      <c r="B33" s="23">
        <f>IF(ROW(B33)&lt;LoanPeriod*12+ROW($B$9)-1,EDATE(B32,1)," ")</f>
        <v>46784</v>
      </c>
      <c r="C33" s="24">
        <f>IF(ROW(B33)&lt;LoanPeriod*12+ROW($B$9)-1,G32," ")</f>
        <v>211891.12339508647</v>
      </c>
      <c r="D33" s="24">
        <f>IF(ROW(C33)&lt;LoanPeriod*12+ROW($B$9)-1,MonthlyPayment," ")</f>
        <v>2017.0915511034575</v>
      </c>
      <c r="E33" s="24">
        <f>IF(ROW(C33)&lt;LoanPeriod*12+ROW($B$9)-1,C33*InterestRate/100/12," ")</f>
        <v>450.26863721455874</v>
      </c>
      <c r="F33" s="24">
        <f>IF(ROW(B33)&lt;LoanPeriod*12+ROW($B$9)-1,D33-E33," ")</f>
        <v>1566.8229138888987</v>
      </c>
      <c r="G33" s="24">
        <f>IF(ROW(C33)&lt;LoanPeriod*12+ROW($B$9)-1,C33-F33," ")</f>
        <v>210324.30048119757</v>
      </c>
    </row>
    <row r="34" s="0" ht="18" customHeight="0" customFormat="0">
      <c r="A34" t="s">
        <v>2</v>
      </c>
      <c r="B34" s="23">
        <f>IF(ROW(B34)&lt;LoanPeriod*12+ROW($B$9)-1,EDATE(B33,1)," ")</f>
        <v>46813</v>
      </c>
      <c r="C34" s="24">
        <f>IF(ROW(B34)&lt;LoanPeriod*12+ROW($B$9)-1,G33," ")</f>
        <v>210324.30048119757</v>
      </c>
      <c r="D34" s="24">
        <f>IF(ROW(C34)&lt;LoanPeriod*12+ROW($B$9)-1,MonthlyPayment," ")</f>
        <v>2017.0915511034575</v>
      </c>
      <c r="E34" s="24">
        <f>IF(ROW(C34)&lt;LoanPeriod*12+ROW($B$9)-1,C34*InterestRate/100/12," ")</f>
        <v>446.93913852254485</v>
      </c>
      <c r="F34" s="24">
        <f>IF(ROW(B34)&lt;LoanPeriod*12+ROW($B$9)-1,D34-E34," ")</f>
        <v>1570.1524125809126</v>
      </c>
      <c r="G34" s="24">
        <f>IF(ROW(C34)&lt;LoanPeriod*12+ROW($B$9)-1,C34-F34," ")</f>
        <v>208754.14806861666</v>
      </c>
    </row>
    <row r="35" s="0" ht="18" customHeight="0" customFormat="0">
      <c r="A35" t="s">
        <v>2</v>
      </c>
      <c r="B35" s="23">
        <f>IF(ROW(B35)&lt;LoanPeriod*12+ROW($B$9)-1,EDATE(B34,1)," ")</f>
        <v>46844</v>
      </c>
      <c r="C35" s="24">
        <f>IF(ROW(B35)&lt;LoanPeriod*12+ROW($B$9)-1,G34," ")</f>
        <v>208754.14806861666</v>
      </c>
      <c r="D35" s="24">
        <f>IF(ROW(C35)&lt;LoanPeriod*12+ROW($B$9)-1,MonthlyPayment," ")</f>
        <v>2017.0915511034575</v>
      </c>
      <c r="E35" s="24">
        <f>IF(ROW(C35)&lt;LoanPeriod*12+ROW($B$9)-1,C35*InterestRate/100/12," ")</f>
        <v>443.60256464581033</v>
      </c>
      <c r="F35" s="24">
        <f>IF(ROW(B35)&lt;LoanPeriod*12+ROW($B$9)-1,D35-E35," ")</f>
        <v>1573.4889864576471</v>
      </c>
      <c r="G35" s="24">
        <f>IF(ROW(C35)&lt;LoanPeriod*12+ROW($B$9)-1,C35-F35," ")</f>
        <v>207180.65908215902</v>
      </c>
    </row>
    <row r="36" s="0" ht="18" customHeight="0" customFormat="0">
      <c r="A36" t="s">
        <v>2</v>
      </c>
      <c r="B36" s="23">
        <f>IF(ROW(B36)&lt;LoanPeriod*12+ROW($B$9)-1,EDATE(B35,1)," ")</f>
        <v>46874</v>
      </c>
      <c r="C36" s="24">
        <f>IF(ROW(B36)&lt;LoanPeriod*12+ROW($B$9)-1,G35," ")</f>
        <v>207180.65908215902</v>
      </c>
      <c r="D36" s="24">
        <f>IF(ROW(C36)&lt;LoanPeriod*12+ROW($B$9)-1,MonthlyPayment," ")</f>
        <v>2017.0915511034575</v>
      </c>
      <c r="E36" s="24">
        <f>IF(ROW(C36)&lt;LoanPeriod*12+ROW($B$9)-1,C36*InterestRate/100/12," ")</f>
        <v>440.25890054958785</v>
      </c>
      <c r="F36" s="24">
        <f>IF(ROW(B36)&lt;LoanPeriod*12+ROW($B$9)-1,D36-E36," ")</f>
        <v>1576.8326505538696</v>
      </c>
      <c r="G36" s="24">
        <f>IF(ROW(C36)&lt;LoanPeriod*12+ROW($B$9)-1,C36-F36," ")</f>
        <v>205603.82643160515</v>
      </c>
    </row>
    <row r="37" s="0" ht="18" customHeight="0" customFormat="0">
      <c r="A37" t="s">
        <v>2</v>
      </c>
      <c r="B37" s="23">
        <f>IF(ROW(B37)&lt;LoanPeriod*12+ROW($B$9)-1,EDATE(B36,1)," ")</f>
        <v>46905</v>
      </c>
      <c r="C37" s="24">
        <f>IF(ROW(B37)&lt;LoanPeriod*12+ROW($B$9)-1,G36," ")</f>
        <v>205603.82643160515</v>
      </c>
      <c r="D37" s="24">
        <f>IF(ROW(C37)&lt;LoanPeriod*12+ROW($B$9)-1,MonthlyPayment," ")</f>
        <v>2017.0915511034575</v>
      </c>
      <c r="E37" s="24">
        <f>IF(ROW(C37)&lt;LoanPeriod*12+ROW($B$9)-1,C37*InterestRate/100/12," ")</f>
        <v>436.90813116716095</v>
      </c>
      <c r="F37" s="24">
        <f>IF(ROW(B37)&lt;LoanPeriod*12+ROW($B$9)-1,D37-E37," ")</f>
        <v>1580.1834199362966</v>
      </c>
      <c r="G37" s="24">
        <f>IF(ROW(C37)&lt;LoanPeriod*12+ROW($B$9)-1,C37-F37," ")</f>
        <v>204023.64301166884</v>
      </c>
    </row>
    <row r="38" s="0" ht="18" customHeight="0" customFormat="0">
      <c r="A38" t="s">
        <v>2</v>
      </c>
      <c r="B38" s="23">
        <f>IF(ROW(B38)&lt;LoanPeriod*12+ROW($B$9)-1,EDATE(B37,1)," ")</f>
        <v>46935</v>
      </c>
      <c r="C38" s="24">
        <f>IF(ROW(B38)&lt;LoanPeriod*12+ROW($B$9)-1,G37," ")</f>
        <v>204023.64301166884</v>
      </c>
      <c r="D38" s="24">
        <f>IF(ROW(C38)&lt;LoanPeriod*12+ROW($B$9)-1,MonthlyPayment," ")</f>
        <v>2017.0915511034575</v>
      </c>
      <c r="E38" s="24">
        <f>IF(ROW(C38)&lt;LoanPeriod*12+ROW($B$9)-1,C38*InterestRate/100/12," ")</f>
        <v>433.5502413997963</v>
      </c>
      <c r="F38" s="24">
        <f>IF(ROW(B38)&lt;LoanPeriod*12+ROW($B$9)-1,D38-E38," ")</f>
        <v>1583.5413097036612</v>
      </c>
      <c r="G38" s="24">
        <f>IF(ROW(C38)&lt;LoanPeriod*12+ROW($B$9)-1,C38-F38," ")</f>
        <v>202440.10170196518</v>
      </c>
    </row>
    <row r="39" s="0" ht="18" customHeight="0" customFormat="0">
      <c r="A39" t="s">
        <v>2</v>
      </c>
      <c r="B39" s="23">
        <f>IF(ROW(B39)&lt;LoanPeriod*12+ROW($B$9)-1,EDATE(B38,1)," ")</f>
        <v>46966</v>
      </c>
      <c r="C39" s="24">
        <f>IF(ROW(B39)&lt;LoanPeriod*12+ROW($B$9)-1,G38," ")</f>
        <v>202440.10170196518</v>
      </c>
      <c r="D39" s="24">
        <f>IF(ROW(C39)&lt;LoanPeriod*12+ROW($B$9)-1,MonthlyPayment," ")</f>
        <v>2017.0915511034575</v>
      </c>
      <c r="E39" s="24">
        <f>IF(ROW(C39)&lt;LoanPeriod*12+ROW($B$9)-1,C39*InterestRate/100/12," ")</f>
        <v>430.185216116676</v>
      </c>
      <c r="F39" s="24">
        <f>IF(ROW(B39)&lt;LoanPeriod*12+ROW($B$9)-1,D39-E39," ")</f>
        <v>1586.9063349867815</v>
      </c>
      <c r="G39" s="24">
        <f>IF(ROW(C39)&lt;LoanPeriod*12+ROW($B$9)-1,C39-F39," ")</f>
        <v>200853.19536697838</v>
      </c>
    </row>
    <row r="40" s="0" ht="18" customHeight="0" customFormat="0">
      <c r="A40" t="s">
        <v>2</v>
      </c>
      <c r="B40" s="23">
        <f>IF(ROW(B40)&lt;LoanPeriod*12+ROW($B$9)-1,EDATE(B39,1)," ")</f>
        <v>46997</v>
      </c>
      <c r="C40" s="24">
        <f>IF(ROW(B40)&lt;LoanPeriod*12+ROW($B$9)-1,G39," ")</f>
        <v>200853.19536697838</v>
      </c>
      <c r="D40" s="24">
        <f>IF(ROW(C40)&lt;LoanPeriod*12+ROW($B$9)-1,MonthlyPayment," ")</f>
        <v>2017.0915511034575</v>
      </c>
      <c r="E40" s="24">
        <f>IF(ROW(C40)&lt;LoanPeriod*12+ROW($B$9)-1,C40*InterestRate/100/12," ")</f>
        <v>426.813040154829</v>
      </c>
      <c r="F40" s="24">
        <f>IF(ROW(B40)&lt;LoanPeriod*12+ROW($B$9)-1,D40-E40," ")</f>
        <v>1590.2785109486285</v>
      </c>
      <c r="G40" s="24">
        <f>IF(ROW(C40)&lt;LoanPeriod*12+ROW($B$9)-1,C40-F40," ")</f>
        <v>199262.91685602977</v>
      </c>
    </row>
    <row r="41" s="0" ht="18" customHeight="0" customFormat="0">
      <c r="A41" t="s">
        <v>2</v>
      </c>
      <c r="B41" s="23">
        <f>IF(ROW(B41)&lt;LoanPeriod*12+ROW($B$9)-1,EDATE(B40,1)," ")</f>
        <v>47027</v>
      </c>
      <c r="C41" s="24">
        <f>IF(ROW(B41)&lt;LoanPeriod*12+ROW($B$9)-1,G40," ")</f>
        <v>199262.91685602977</v>
      </c>
      <c r="D41" s="24">
        <f>IF(ROW(C41)&lt;LoanPeriod*12+ROW($B$9)-1,MonthlyPayment," ")</f>
        <v>2017.0915511034575</v>
      </c>
      <c r="E41" s="24">
        <f>IF(ROW(C41)&lt;LoanPeriod*12+ROW($B$9)-1,C41*InterestRate/100/12," ")</f>
        <v>423.43369831906324</v>
      </c>
      <c r="F41" s="24">
        <f>IF(ROW(B41)&lt;LoanPeriod*12+ROW($B$9)-1,D41-E41," ")</f>
        <v>1593.6578527843942</v>
      </c>
      <c r="G41" s="24">
        <f>IF(ROW(C41)&lt;LoanPeriod*12+ROW($B$9)-1,C41-F41," ")</f>
        <v>197669.2590032454</v>
      </c>
    </row>
    <row r="42" s="0" ht="18" customHeight="0" customFormat="0">
      <c r="A42" t="s">
        <v>2</v>
      </c>
      <c r="B42" s="23">
        <f>IF(ROW(B42)&lt;LoanPeriod*12+ROW($B$9)-1,EDATE(B41,1)," ")</f>
        <v>47058</v>
      </c>
      <c r="C42" s="24">
        <f>IF(ROW(B42)&lt;LoanPeriod*12+ROW($B$9)-1,G41," ")</f>
        <v>197669.2590032454</v>
      </c>
      <c r="D42" s="24">
        <f>IF(ROW(C42)&lt;LoanPeriod*12+ROW($B$9)-1,MonthlyPayment," ")</f>
        <v>2017.0915511034575</v>
      </c>
      <c r="E42" s="24">
        <f>IF(ROW(C42)&lt;LoanPeriod*12+ROW($B$9)-1,C42*InterestRate/100/12," ")</f>
        <v>420.04717538189647</v>
      </c>
      <c r="F42" s="24">
        <f>IF(ROW(B42)&lt;LoanPeriod*12+ROW($B$9)-1,D42-E42," ")</f>
        <v>1597.044375721561</v>
      </c>
      <c r="G42" s="24">
        <f>IF(ROW(C42)&lt;LoanPeriod*12+ROW($B$9)-1,C42-F42," ")</f>
        <v>196072.21462752382</v>
      </c>
    </row>
    <row r="43" s="0" ht="18" customHeight="0" customFormat="0">
      <c r="A43" t="s">
        <v>2</v>
      </c>
      <c r="B43" s="23">
        <f>IF(ROW(B43)&lt;LoanPeriod*12+ROW($B$9)-1,EDATE(B42,1)," ")</f>
        <v>47088</v>
      </c>
      <c r="C43" s="24">
        <f>IF(ROW(B43)&lt;LoanPeriod*12+ROW($B$9)-1,G42," ")</f>
        <v>196072.21462752382</v>
      </c>
      <c r="D43" s="24">
        <f>IF(ROW(C43)&lt;LoanPeriod*12+ROW($B$9)-1,MonthlyPayment," ")</f>
        <v>2017.0915511034575</v>
      </c>
      <c r="E43" s="24">
        <f>IF(ROW(C43)&lt;LoanPeriod*12+ROW($B$9)-1,C43*InterestRate/100/12," ")</f>
        <v>416.65345608348804</v>
      </c>
      <c r="F43" s="24">
        <f>IF(ROW(B43)&lt;LoanPeriod*12+ROW($B$9)-1,D43-E43," ")</f>
        <v>1600.4380950199695</v>
      </c>
      <c r="G43" s="24">
        <f>IF(ROW(C43)&lt;LoanPeriod*12+ROW($B$9)-1,C43-F43," ")</f>
        <v>194471.77653250386</v>
      </c>
    </row>
    <row r="44" s="0" ht="18" customHeight="0" customFormat="0">
      <c r="A44" t="s">
        <v>2</v>
      </c>
      <c r="B44" s="23">
        <f>IF(ROW(B44)&lt;LoanPeriod*12+ROW($B$9)-1,EDATE(B43,1)," ")</f>
        <v>47119</v>
      </c>
      <c r="C44" s="24">
        <f>IF(ROW(B44)&lt;LoanPeriod*12+ROW($B$9)-1,G43," ")</f>
        <v>194471.77653250386</v>
      </c>
      <c r="D44" s="24">
        <f>IF(ROW(C44)&lt;LoanPeriod*12+ROW($B$9)-1,MonthlyPayment," ")</f>
        <v>2017.0915511034575</v>
      </c>
      <c r="E44" s="24">
        <f>IF(ROW(C44)&lt;LoanPeriod*12+ROW($B$9)-1,C44*InterestRate/100/12," ")</f>
        <v>413.25252513157074</v>
      </c>
      <c r="F44" s="24">
        <f>IF(ROW(B44)&lt;LoanPeriod*12+ROW($B$9)-1,D44-E44," ")</f>
        <v>1603.8390259718867</v>
      </c>
      <c r="G44" s="24">
        <f>IF(ROW(C44)&lt;LoanPeriod*12+ROW($B$9)-1,C44-F44," ")</f>
        <v>192867.93750653198</v>
      </c>
    </row>
    <row r="45" s="0" ht="18" customHeight="0" customFormat="0">
      <c r="A45" t="s">
        <v>2</v>
      </c>
      <c r="B45" s="23">
        <f>IF(ROW(B45)&lt;LoanPeriod*12+ROW($B$9)-1,EDATE(B44,1)," ")</f>
        <v>47150</v>
      </c>
      <c r="C45" s="24">
        <f>IF(ROW(B45)&lt;LoanPeriod*12+ROW($B$9)-1,G44," ")</f>
        <v>192867.93750653198</v>
      </c>
      <c r="D45" s="24">
        <f>IF(ROW(C45)&lt;LoanPeriod*12+ROW($B$9)-1,MonthlyPayment," ")</f>
        <v>2017.0915511034575</v>
      </c>
      <c r="E45" s="24">
        <f>IF(ROW(C45)&lt;LoanPeriod*12+ROW($B$9)-1,C45*InterestRate/100/12," ")</f>
        <v>409.8443672013804</v>
      </c>
      <c r="F45" s="24">
        <f>IF(ROW(B45)&lt;LoanPeriod*12+ROW($B$9)-1,D45-E45," ")</f>
        <v>1607.247183902077</v>
      </c>
      <c r="G45" s="24">
        <f>IF(ROW(C45)&lt;LoanPeriod*12+ROW($B$9)-1,C45-F45," ")</f>
        <v>191260.6903226299</v>
      </c>
    </row>
    <row r="46" s="0" ht="18" customHeight="0" customFormat="0">
      <c r="A46" t="s">
        <v>2</v>
      </c>
      <c r="B46" s="23">
        <f>IF(ROW(B46)&lt;LoanPeriod*12+ROW($B$9)-1,EDATE(B45,1)," ")</f>
        <v>47178</v>
      </c>
      <c r="C46" s="24">
        <f>IF(ROW(B46)&lt;LoanPeriod*12+ROW($B$9)-1,G45," ")</f>
        <v>191260.6903226299</v>
      </c>
      <c r="D46" s="24">
        <f>IF(ROW(C46)&lt;LoanPeriod*12+ROW($B$9)-1,MonthlyPayment," ")</f>
        <v>2017.0915511034575</v>
      </c>
      <c r="E46" s="24">
        <f>IF(ROW(C46)&lt;LoanPeriod*12+ROW($B$9)-1,C46*InterestRate/100/12," ")</f>
        <v>406.4289669355885</v>
      </c>
      <c r="F46" s="24">
        <f>IF(ROW(B46)&lt;LoanPeriod*12+ROW($B$9)-1,D46-E46," ")</f>
        <v>1610.662584167869</v>
      </c>
      <c r="G46" s="24">
        <f>IF(ROW(C46)&lt;LoanPeriod*12+ROW($B$9)-1,C46-F46," ")</f>
        <v>189650.02773846203</v>
      </c>
    </row>
    <row r="47" s="0" ht="18" customHeight="0" customFormat="0">
      <c r="A47" t="s">
        <v>2</v>
      </c>
      <c r="B47" s="23">
        <f>IF(ROW(B47)&lt;LoanPeriod*12+ROW($B$9)-1,EDATE(B46,1)," ")</f>
        <v>47209</v>
      </c>
      <c r="C47" s="24">
        <f>IF(ROW(B47)&lt;LoanPeriod*12+ROW($B$9)-1,G46," ")</f>
        <v>189650.02773846203</v>
      </c>
      <c r="D47" s="24">
        <f>IF(ROW(C47)&lt;LoanPeriod*12+ROW($B$9)-1,MonthlyPayment," ")</f>
        <v>2017.0915511034575</v>
      </c>
      <c r="E47" s="24">
        <f>IF(ROW(C47)&lt;LoanPeriod*12+ROW($B$9)-1,C47*InterestRate/100/12," ")</f>
        <v>403.00630894423176</v>
      </c>
      <c r="F47" s="24">
        <f>IF(ROW(B47)&lt;LoanPeriod*12+ROW($B$9)-1,D47-E47," ")</f>
        <v>1614.0852421592258</v>
      </c>
      <c r="G47" s="24">
        <f>IF(ROW(C47)&lt;LoanPeriod*12+ROW($B$9)-1,C47-F47," ")</f>
        <v>188035.9424963028</v>
      </c>
    </row>
    <row r="48" s="0" ht="18" customHeight="0" customFormat="0">
      <c r="A48" t="s">
        <v>2</v>
      </c>
      <c r="B48" s="23">
        <f>IF(ROW(B48)&lt;LoanPeriod*12+ROW($B$9)-1,EDATE(B47,1)," ")</f>
        <v>47239</v>
      </c>
      <c r="C48" s="24">
        <f>IF(ROW(B48)&lt;LoanPeriod*12+ROW($B$9)-1,G47," ")</f>
        <v>188035.9424963028</v>
      </c>
      <c r="D48" s="24">
        <f>IF(ROW(C48)&lt;LoanPeriod*12+ROW($B$9)-1,MonthlyPayment," ")</f>
        <v>2017.0915511034575</v>
      </c>
      <c r="E48" s="24">
        <f>IF(ROW(C48)&lt;LoanPeriod*12+ROW($B$9)-1,C48*InterestRate/100/12," ")</f>
        <v>399.5763778046434</v>
      </c>
      <c r="F48" s="24">
        <f>IF(ROW(B48)&lt;LoanPeriod*12+ROW($B$9)-1,D48-E48," ")</f>
        <v>1617.515173298814</v>
      </c>
      <c r="G48" s="24">
        <f>IF(ROW(C48)&lt;LoanPeriod*12+ROW($B$9)-1,C48-F48," ")</f>
        <v>186418.427323004</v>
      </c>
    </row>
    <row r="49" s="0" ht="18" customHeight="0" customFormat="0">
      <c r="A49" t="s">
        <v>2</v>
      </c>
      <c r="B49" s="23">
        <f>IF(ROW(B49)&lt;LoanPeriod*12+ROW($B$9)-1,EDATE(B48,1)," ")</f>
        <v>47270</v>
      </c>
      <c r="C49" s="24">
        <f>IF(ROW(B49)&lt;LoanPeriod*12+ROW($B$9)-1,G48," ")</f>
        <v>186418.427323004</v>
      </c>
      <c r="D49" s="24">
        <f>IF(ROW(C49)&lt;LoanPeriod*12+ROW($B$9)-1,MonthlyPayment," ")</f>
        <v>2017.0915511034575</v>
      </c>
      <c r="E49" s="24">
        <f>IF(ROW(C49)&lt;LoanPeriod*12+ROW($B$9)-1,C49*InterestRate/100/12," ")</f>
        <v>396.1391580613834</v>
      </c>
      <c r="F49" s="24">
        <f>IF(ROW(B49)&lt;LoanPeriod*12+ROW($B$9)-1,D49-E49," ")</f>
        <v>1620.9523930420742</v>
      </c>
      <c r="G49" s="24">
        <f>IF(ROW(C49)&lt;LoanPeriod*12+ROW($B$9)-1,C49-F49," ")</f>
        <v>184797.47492996193</v>
      </c>
    </row>
    <row r="50" s="0" ht="18" customHeight="0" customFormat="0">
      <c r="A50" t="s">
        <v>2</v>
      </c>
      <c r="B50" s="23">
        <f>IF(ROW(B50)&lt;LoanPeriod*12+ROW($B$9)-1,EDATE(B49,1)," ")</f>
        <v>47300</v>
      </c>
      <c r="C50" s="24">
        <f>IF(ROW(B50)&lt;LoanPeriod*12+ROW($B$9)-1,G49," ")</f>
        <v>184797.47492996193</v>
      </c>
      <c r="D50" s="24">
        <f>IF(ROW(C50)&lt;LoanPeriod*12+ROW($B$9)-1,MonthlyPayment," ")</f>
        <v>2017.0915511034575</v>
      </c>
      <c r="E50" s="24">
        <f>IF(ROW(C50)&lt;LoanPeriod*12+ROW($B$9)-1,C50*InterestRate/100/12," ")</f>
        <v>392.69463422616906</v>
      </c>
      <c r="F50" s="24">
        <f>IF(ROW(B50)&lt;LoanPeriod*12+ROW($B$9)-1,D50-E50," ")</f>
        <v>1624.3969168772885</v>
      </c>
      <c r="G50" s="24">
        <f>IF(ROW(C50)&lt;LoanPeriod*12+ROW($B$9)-1,C50-F50," ")</f>
        <v>183173.07801308465</v>
      </c>
    </row>
    <row r="51" s="0" ht="18" customHeight="0" customFormat="0">
      <c r="A51" t="s">
        <v>2</v>
      </c>
      <c r="B51" s="23">
        <f>IF(ROW(B51)&lt;LoanPeriod*12+ROW($B$9)-1,EDATE(B50,1)," ")</f>
        <v>47331</v>
      </c>
      <c r="C51" s="24">
        <f>IF(ROW(B51)&lt;LoanPeriod*12+ROW($B$9)-1,G50," ")</f>
        <v>183173.07801308465</v>
      </c>
      <c r="D51" s="24">
        <f>IF(ROW(C51)&lt;LoanPeriod*12+ROW($B$9)-1,MonthlyPayment," ")</f>
        <v>2017.0915511034575</v>
      </c>
      <c r="E51" s="24">
        <f>IF(ROW(C51)&lt;LoanPeriod*12+ROW($B$9)-1,C51*InterestRate/100/12," ")</f>
        <v>389.2427907778049</v>
      </c>
      <c r="F51" s="24">
        <f>IF(ROW(B51)&lt;LoanPeriod*12+ROW($B$9)-1,D51-E51," ")</f>
        <v>1627.8487603256526</v>
      </c>
      <c r="G51" s="24">
        <f>IF(ROW(C51)&lt;LoanPeriod*12+ROW($B$9)-1,C51-F51," ")</f>
        <v>181545.229252759</v>
      </c>
    </row>
    <row r="52" s="0" ht="18" customHeight="0" customFormat="0">
      <c r="A52" t="s">
        <v>2</v>
      </c>
      <c r="B52" s="23">
        <f>IF(ROW(B52)&lt;LoanPeriod*12+ROW($B$9)-1,EDATE(B51,1)," ")</f>
        <v>47362</v>
      </c>
      <c r="C52" s="24">
        <f>IF(ROW(B52)&lt;LoanPeriod*12+ROW($B$9)-1,G51," ")</f>
        <v>181545.229252759</v>
      </c>
      <c r="D52" s="24">
        <f>IF(ROW(C52)&lt;LoanPeriod*12+ROW($B$9)-1,MonthlyPayment," ")</f>
        <v>2017.0915511034575</v>
      </c>
      <c r="E52" s="24">
        <f>IF(ROW(C52)&lt;LoanPeriod*12+ROW($B$9)-1,C52*InterestRate/100/12," ")</f>
        <v>385.78361216211283</v>
      </c>
      <c r="F52" s="24">
        <f>IF(ROW(B52)&lt;LoanPeriod*12+ROW($B$9)-1,D52-E52," ")</f>
        <v>1631.3079389413447</v>
      </c>
      <c r="G52" s="24">
        <f>IF(ROW(C52)&lt;LoanPeriod*12+ROW($B$9)-1,C52-F52," ")</f>
        <v>179913.92131381764</v>
      </c>
    </row>
    <row r="53" s="0" ht="18" customHeight="0" customFormat="0">
      <c r="A53" t="s">
        <v>2</v>
      </c>
      <c r="B53" s="23">
        <f>IF(ROW(B53)&lt;LoanPeriod*12+ROW($B$9)-1,EDATE(B52,1)," ")</f>
        <v>47392</v>
      </c>
      <c r="C53" s="24">
        <f>IF(ROW(B53)&lt;LoanPeriod*12+ROW($B$9)-1,G52," ")</f>
        <v>179913.92131381764</v>
      </c>
      <c r="D53" s="24">
        <f>IF(ROW(C53)&lt;LoanPeriod*12+ROW($B$9)-1,MonthlyPayment," ")</f>
        <v>2017.0915511034575</v>
      </c>
      <c r="E53" s="24">
        <f>IF(ROW(C53)&lt;LoanPeriod*12+ROW($B$9)-1,C53*InterestRate/100/12," ")</f>
        <v>382.3170827918625</v>
      </c>
      <c r="F53" s="24">
        <f>IF(ROW(B53)&lt;LoanPeriod*12+ROW($B$9)-1,D53-E53," ")</f>
        <v>1634.774468311595</v>
      </c>
      <c r="G53" s="24">
        <f>IF(ROW(C53)&lt;LoanPeriod*12+ROW($B$9)-1,C53-F53," ")</f>
        <v>178279.14684550604</v>
      </c>
    </row>
    <row r="54" s="0" ht="18" customHeight="0" customFormat="0">
      <c r="A54" t="s">
        <v>2</v>
      </c>
      <c r="B54" s="23">
        <f>IF(ROW(B54)&lt;LoanPeriod*12+ROW($B$9)-1,EDATE(B53,1)," ")</f>
        <v>47423</v>
      </c>
      <c r="C54" s="24">
        <f>IF(ROW(B54)&lt;LoanPeriod*12+ROW($B$9)-1,G53," ")</f>
        <v>178279.14684550604</v>
      </c>
      <c r="D54" s="24">
        <f>IF(ROW(C54)&lt;LoanPeriod*12+ROW($B$9)-1,MonthlyPayment," ")</f>
        <v>2017.0915511034575</v>
      </c>
      <c r="E54" s="24">
        <f>IF(ROW(C54)&lt;LoanPeriod*12+ROW($B$9)-1,C54*InterestRate/100/12," ")</f>
        <v>378.8431870467003</v>
      </c>
      <c r="F54" s="24">
        <f>IF(ROW(B54)&lt;LoanPeriod*12+ROW($B$9)-1,D54-E54," ")</f>
        <v>1638.2483640567573</v>
      </c>
      <c r="G54" s="24">
        <f>IF(ROW(C54)&lt;LoanPeriod*12+ROW($B$9)-1,C54-F54," ")</f>
        <v>176640.8984814493</v>
      </c>
    </row>
    <row r="55" s="0" ht="18" customHeight="0" customFormat="0">
      <c r="A55" t="s">
        <v>2</v>
      </c>
      <c r="B55" s="23">
        <f>IF(ROW(B55)&lt;LoanPeriod*12+ROW($B$9)-1,EDATE(B54,1)," ")</f>
        <v>47453</v>
      </c>
      <c r="C55" s="24">
        <f>IF(ROW(B55)&lt;LoanPeriod*12+ROW($B$9)-1,G54," ")</f>
        <v>176640.8984814493</v>
      </c>
      <c r="D55" s="24">
        <f>IF(ROW(C55)&lt;LoanPeriod*12+ROW($B$9)-1,MonthlyPayment," ")</f>
        <v>2017.0915511034575</v>
      </c>
      <c r="E55" s="24">
        <f>IF(ROW(C55)&lt;LoanPeriod*12+ROW($B$9)-1,C55*InterestRate/100/12," ")</f>
        <v>375.3619092730797</v>
      </c>
      <c r="F55" s="24">
        <f>IF(ROW(B55)&lt;LoanPeriod*12+ROW($B$9)-1,D55-E55," ")</f>
        <v>1641.729641830378</v>
      </c>
      <c r="G55" s="24">
        <f>IF(ROW(C55)&lt;LoanPeriod*12+ROW($B$9)-1,C55-F55," ")</f>
        <v>174999.1688396189</v>
      </c>
    </row>
    <row r="56" s="0" ht="18" customHeight="0" customFormat="0">
      <c r="A56" t="s">
        <v>2</v>
      </c>
      <c r="B56" s="23">
        <f>IF(ROW(B56)&lt;LoanPeriod*12+ROW($B$9)-1,EDATE(B55,1)," ")</f>
        <v>47484</v>
      </c>
      <c r="C56" s="24">
        <f>IF(ROW(B56)&lt;LoanPeriod*12+ROW($B$9)-1,G55," ")</f>
        <v>174999.1688396189</v>
      </c>
      <c r="D56" s="24">
        <f>IF(ROW(C56)&lt;LoanPeriod*12+ROW($B$9)-1,MonthlyPayment," ")</f>
        <v>2017.0915511034575</v>
      </c>
      <c r="E56" s="24">
        <f>IF(ROW(C56)&lt;LoanPeriod*12+ROW($B$9)-1,C56*InterestRate/100/12," ")</f>
        <v>371.8732337841902</v>
      </c>
      <c r="F56" s="24">
        <f>IF(ROW(B56)&lt;LoanPeriod*12+ROW($B$9)-1,D56-E56," ")</f>
        <v>1645.2183173192673</v>
      </c>
      <c r="G56" s="24">
        <f>IF(ROW(C56)&lt;LoanPeriod*12+ROW($B$9)-1,C56-F56," ")</f>
        <v>173353.95052229965</v>
      </c>
    </row>
    <row r="57" s="0" ht="18" customHeight="0" customFormat="0">
      <c r="A57" t="s">
        <v>2</v>
      </c>
      <c r="B57" s="23">
        <f>IF(ROW(B57)&lt;LoanPeriod*12+ROW($B$9)-1,EDATE(B56,1)," ")</f>
        <v>47515</v>
      </c>
      <c r="C57" s="24">
        <f>IF(ROW(B57)&lt;LoanPeriod*12+ROW($B$9)-1,G56," ")</f>
        <v>173353.95052229965</v>
      </c>
      <c r="D57" s="24">
        <f>IF(ROW(C57)&lt;LoanPeriod*12+ROW($B$9)-1,MonthlyPayment," ")</f>
        <v>2017.0915511034575</v>
      </c>
      <c r="E57" s="24">
        <f>IF(ROW(C57)&lt;LoanPeriod*12+ROW($B$9)-1,C57*InterestRate/100/12," ")</f>
        <v>368.37714485988676</v>
      </c>
      <c r="F57" s="24">
        <f>IF(ROW(B57)&lt;LoanPeriod*12+ROW($B$9)-1,D57-E57," ")</f>
        <v>1648.7144062435707</v>
      </c>
      <c r="G57" s="24">
        <f>IF(ROW(C57)&lt;LoanPeriod*12+ROW($B$9)-1,C57-F57," ")</f>
        <v>171705.23611605607</v>
      </c>
    </row>
    <row r="58" s="0" ht="18" customHeight="0" customFormat="0">
      <c r="A58" t="s">
        <v>2</v>
      </c>
      <c r="B58" s="23">
        <f>IF(ROW(B58)&lt;LoanPeriod*12+ROW($B$9)-1,EDATE(B57,1)," ")</f>
        <v>47543</v>
      </c>
      <c r="C58" s="24">
        <f>IF(ROW(B58)&lt;LoanPeriod*12+ROW($B$9)-1,G57," ")</f>
        <v>171705.23611605607</v>
      </c>
      <c r="D58" s="24">
        <f>IF(ROW(C58)&lt;LoanPeriod*12+ROW($B$9)-1,MonthlyPayment," ")</f>
        <v>2017.0915511034575</v>
      </c>
      <c r="E58" s="24">
        <f>IF(ROW(C58)&lt;LoanPeriod*12+ROW($B$9)-1,C58*InterestRate/100/12," ")</f>
        <v>364.8736267466191</v>
      </c>
      <c r="F58" s="24">
        <f>IF(ROW(B58)&lt;LoanPeriod*12+ROW($B$9)-1,D58-E58," ")</f>
        <v>1652.2179243568385</v>
      </c>
      <c r="G58" s="24">
        <f>IF(ROW(C58)&lt;LoanPeriod*12+ROW($B$9)-1,C58-F58," ")</f>
        <v>170053.01819169923</v>
      </c>
    </row>
    <row r="59" s="0" ht="18" customHeight="0" customFormat="0">
      <c r="A59" t="s">
        <v>2</v>
      </c>
      <c r="B59" s="23">
        <f>IF(ROW(B59)&lt;LoanPeriod*12+ROW($B$9)-1,EDATE(B58,1)," ")</f>
        <v>47574</v>
      </c>
      <c r="C59" s="24">
        <f>IF(ROW(B59)&lt;LoanPeriod*12+ROW($B$9)-1,G58," ")</f>
        <v>170053.01819169923</v>
      </c>
      <c r="D59" s="24">
        <f>IF(ROW(C59)&lt;LoanPeriod*12+ROW($B$9)-1,MonthlyPayment," ")</f>
        <v>2017.0915511034575</v>
      </c>
      <c r="E59" s="24">
        <f>IF(ROW(C59)&lt;LoanPeriod*12+ROW($B$9)-1,C59*InterestRate/100/12," ")</f>
        <v>361.3626636573608</v>
      </c>
      <c r="F59" s="24">
        <f>IF(ROW(B59)&lt;LoanPeriod*12+ROW($B$9)-1,D59-E59," ")</f>
        <v>1655.7288874460967</v>
      </c>
      <c r="G59" s="24">
        <f>IF(ROW(C59)&lt;LoanPeriod*12+ROW($B$9)-1,C59-F59," ")</f>
        <v>168397.28930425312</v>
      </c>
    </row>
    <row r="60" s="0" ht="18" customHeight="0" customFormat="0">
      <c r="A60" t="s">
        <v>2</v>
      </c>
      <c r="B60" s="23">
        <f>IF(ROW(B60)&lt;LoanPeriod*12+ROW($B$9)-1,EDATE(B59,1)," ")</f>
        <v>47604</v>
      </c>
      <c r="C60" s="24">
        <f>IF(ROW(B60)&lt;LoanPeriod*12+ROW($B$9)-1,G59," ")</f>
        <v>168397.28930425312</v>
      </c>
      <c r="D60" s="24">
        <f>IF(ROW(C60)&lt;LoanPeriod*12+ROW($B$9)-1,MonthlyPayment," ")</f>
        <v>2017.0915511034575</v>
      </c>
      <c r="E60" s="24">
        <f>IF(ROW(C60)&lt;LoanPeriod*12+ROW($B$9)-1,C60*InterestRate/100/12," ")</f>
        <v>357.84423977153784</v>
      </c>
      <c r="F60" s="24">
        <f>IF(ROW(B60)&lt;LoanPeriod*12+ROW($B$9)-1,D60-E60," ")</f>
        <v>1659.2473113319197</v>
      </c>
      <c r="G60" s="24">
        <f>IF(ROW(C60)&lt;LoanPeriod*12+ROW($B$9)-1,C60-F60," ")</f>
        <v>166738.0419929212</v>
      </c>
    </row>
    <row r="61" s="0" ht="18" customHeight="0" customFormat="0">
      <c r="A61" t="s">
        <v>2</v>
      </c>
      <c r="B61" s="23">
        <f>IF(ROW(B61)&lt;LoanPeriod*12+ROW($B$9)-1,EDATE(B60,1)," ")</f>
        <v>47635</v>
      </c>
      <c r="C61" s="24">
        <f>IF(ROW(B61)&lt;LoanPeriod*12+ROW($B$9)-1,G60," ")</f>
        <v>166738.0419929212</v>
      </c>
      <c r="D61" s="24">
        <f>IF(ROW(C61)&lt;LoanPeriod*12+ROW($B$9)-1,MonthlyPayment," ")</f>
        <v>2017.0915511034575</v>
      </c>
      <c r="E61" s="24">
        <f>IF(ROW(C61)&lt;LoanPeriod*12+ROW($B$9)-1,C61*InterestRate/100/12," ")</f>
        <v>354.3183392349575</v>
      </c>
      <c r="F61" s="24">
        <f>IF(ROW(B61)&lt;LoanPeriod*12+ROW($B$9)-1,D61-E61," ")</f>
        <v>1662.7732118685</v>
      </c>
      <c r="G61" s="24">
        <f>IF(ROW(C61)&lt;LoanPeriod*12+ROW($B$9)-1,C61-F61," ")</f>
        <v>165075.2687810527</v>
      </c>
    </row>
    <row r="62" s="0" ht="18" customHeight="0" customFormat="0">
      <c r="A62" t="s">
        <v>2</v>
      </c>
      <c r="B62" s="23">
        <f>IF(ROW(B62)&lt;LoanPeriod*12+ROW($B$9)-1,EDATE(B61,1)," ")</f>
        <v>47665</v>
      </c>
      <c r="C62" s="24">
        <f>IF(ROW(B62)&lt;LoanPeriod*12+ROW($B$9)-1,G61," ")</f>
        <v>165075.2687810527</v>
      </c>
      <c r="D62" s="24">
        <f>IF(ROW(C62)&lt;LoanPeriod*12+ROW($B$9)-1,MonthlyPayment," ")</f>
        <v>2017.0915511034575</v>
      </c>
      <c r="E62" s="24">
        <f>IF(ROW(C62)&lt;LoanPeriod*12+ROW($B$9)-1,C62*InterestRate/100/12," ")</f>
        <v>350.784946159737</v>
      </c>
      <c r="F62" s="24">
        <f>IF(ROW(B62)&lt;LoanPeriod*12+ROW($B$9)-1,D62-E62," ")</f>
        <v>1666.3066049437205</v>
      </c>
      <c r="G62" s="24">
        <f>IF(ROW(C62)&lt;LoanPeriod*12+ROW($B$9)-1,C62-F62," ")</f>
        <v>163408.96217610897</v>
      </c>
    </row>
    <row r="63" s="0" ht="18" customHeight="0" customFormat="0">
      <c r="A63" t="s">
        <v>2</v>
      </c>
      <c r="B63" s="23">
        <f>IF(ROW(B63)&lt;LoanPeriod*12+ROW($B$9)-1,EDATE(B62,1)," ")</f>
        <v>47696</v>
      </c>
      <c r="C63" s="24">
        <f>IF(ROW(B63)&lt;LoanPeriod*12+ROW($B$9)-1,G62," ")</f>
        <v>163408.96217610897</v>
      </c>
      <c r="D63" s="24">
        <f>IF(ROW(C63)&lt;LoanPeriod*12+ROW($B$9)-1,MonthlyPayment," ")</f>
        <v>2017.0915511034575</v>
      </c>
      <c r="E63" s="24">
        <f>IF(ROW(C63)&lt;LoanPeriod*12+ROW($B$9)-1,C63*InterestRate/100/12," ")</f>
        <v>347.2440446242315</v>
      </c>
      <c r="F63" s="24">
        <f>IF(ROW(B63)&lt;LoanPeriod*12+ROW($B$9)-1,D63-E63," ")</f>
        <v>1669.847506479226</v>
      </c>
      <c r="G63" s="24">
        <f>IF(ROW(C63)&lt;LoanPeriod*12+ROW($B$9)-1,C63-F63," ")</f>
        <v>161739.11466962975</v>
      </c>
    </row>
    <row r="64" s="0" ht="18" customHeight="0" customFormat="0">
      <c r="A64" t="s">
        <v>2</v>
      </c>
      <c r="B64" s="23">
        <f>IF(ROW(B64)&lt;LoanPeriod*12+ROW($B$9)-1,EDATE(B63,1)," ")</f>
        <v>47727</v>
      </c>
      <c r="C64" s="24">
        <f>IF(ROW(B64)&lt;LoanPeriod*12+ROW($B$9)-1,G63," ")</f>
        <v>161739.11466962975</v>
      </c>
      <c r="D64" s="24">
        <f>IF(ROW(C64)&lt;LoanPeriod*12+ROW($B$9)-1,MonthlyPayment," ")</f>
        <v>2017.0915511034575</v>
      </c>
      <c r="E64" s="24">
        <f>IF(ROW(C64)&lt;LoanPeriod*12+ROW($B$9)-1,C64*InterestRate/100/12," ")</f>
        <v>343.6956186729631</v>
      </c>
      <c r="F64" s="24">
        <f>IF(ROW(B64)&lt;LoanPeriod*12+ROW($B$9)-1,D64-E64," ")</f>
        <v>1673.3959324304944</v>
      </c>
      <c r="G64" s="24">
        <f>IF(ROW(C64)&lt;LoanPeriod*12+ROW($B$9)-1,C64-F64," ")</f>
        <v>160065.71873719926</v>
      </c>
    </row>
    <row r="65" s="0" ht="18" customHeight="0" customFormat="0">
      <c r="A65" t="s">
        <v>2</v>
      </c>
      <c r="B65" s="23">
        <f>IF(ROW(B65)&lt;LoanPeriod*12+ROW($B$9)-1,EDATE(B64,1)," ")</f>
        <v>47757</v>
      </c>
      <c r="C65" s="24">
        <f>IF(ROW(B65)&lt;LoanPeriod*12+ROW($B$9)-1,G64," ")</f>
        <v>160065.71873719926</v>
      </c>
      <c r="D65" s="24">
        <f>IF(ROW(C65)&lt;LoanPeriod*12+ROW($B$9)-1,MonthlyPayment," ")</f>
        <v>2017.0915511034575</v>
      </c>
      <c r="E65" s="24">
        <f>IF(ROW(C65)&lt;LoanPeriod*12+ROW($B$9)-1,C65*InterestRate/100/12," ")</f>
        <v>340.1396523165484</v>
      </c>
      <c r="F65" s="24">
        <f>IF(ROW(B65)&lt;LoanPeriod*12+ROW($B$9)-1,D65-E65," ")</f>
        <v>1676.9518987869092</v>
      </c>
      <c r="G65" s="24">
        <f>IF(ROW(C65)&lt;LoanPeriod*12+ROW($B$9)-1,C65-F65," ")</f>
        <v>158388.76683841235</v>
      </c>
    </row>
    <row r="66" s="0" ht="18" customHeight="0" customFormat="0">
      <c r="A66" t="s">
        <v>2</v>
      </c>
      <c r="B66" s="23">
        <f>IF(ROW(B66)&lt;LoanPeriod*12+ROW($B$9)-1,EDATE(B65,1)," ")</f>
        <v>47788</v>
      </c>
      <c r="C66" s="24">
        <f>IF(ROW(B66)&lt;LoanPeriod*12+ROW($B$9)-1,G65," ")</f>
        <v>158388.76683841235</v>
      </c>
      <c r="D66" s="24">
        <f>IF(ROW(C66)&lt;LoanPeriod*12+ROW($B$9)-1,MonthlyPayment," ")</f>
        <v>2017.0915511034575</v>
      </c>
      <c r="E66" s="24">
        <f>IF(ROW(C66)&lt;LoanPeriod*12+ROW($B$9)-1,C66*InterestRate/100/12," ")</f>
        <v>336.57612953162624</v>
      </c>
      <c r="F66" s="24">
        <f>IF(ROW(B66)&lt;LoanPeriod*12+ROW($B$9)-1,D66-E66," ")</f>
        <v>1680.5154215718312</v>
      </c>
      <c r="G66" s="24">
        <f>IF(ROW(C66)&lt;LoanPeriod*12+ROW($B$9)-1,C66-F66," ")</f>
        <v>156708.25141684053</v>
      </c>
    </row>
    <row r="67" s="0" ht="18" customHeight="0" customFormat="0">
      <c r="A67" t="s">
        <v>2</v>
      </c>
      <c r="B67" s="23">
        <f>IF(ROW(B67)&lt;LoanPeriod*12+ROW($B$9)-1,EDATE(B66,1)," ")</f>
        <v>47818</v>
      </c>
      <c r="C67" s="24">
        <f>IF(ROW(B67)&lt;LoanPeriod*12+ROW($B$9)-1,G66," ")</f>
        <v>156708.25141684053</v>
      </c>
      <c r="D67" s="24">
        <f>IF(ROW(C67)&lt;LoanPeriod*12+ROW($B$9)-1,MonthlyPayment," ")</f>
        <v>2017.0915511034575</v>
      </c>
      <c r="E67" s="24">
        <f>IF(ROW(C67)&lt;LoanPeriod*12+ROW($B$9)-1,C67*InterestRate/100/12," ")</f>
        <v>333.0050342607861</v>
      </c>
      <c r="F67" s="24">
        <f>IF(ROW(B67)&lt;LoanPeriod*12+ROW($B$9)-1,D67-E67," ")</f>
        <v>1684.0865168426715</v>
      </c>
      <c r="G67" s="24">
        <f>IF(ROW(C67)&lt;LoanPeriod*12+ROW($B$9)-1,C67-F67," ")</f>
        <v>155024.16489999785</v>
      </c>
    </row>
    <row r="68" s="0" ht="18" customHeight="0" customFormat="0">
      <c r="A68" t="s">
        <v>2</v>
      </c>
      <c r="B68" s="23">
        <f>IF(ROW(B68)&lt;LoanPeriod*12+ROW($B$9)-1,EDATE(B67,1)," ")</f>
        <v>47849</v>
      </c>
      <c r="C68" s="24">
        <f>IF(ROW(B68)&lt;LoanPeriod*12+ROW($B$9)-1,G67," ")</f>
        <v>155024.16489999785</v>
      </c>
      <c r="D68" s="24">
        <f>IF(ROW(C68)&lt;LoanPeriod*12+ROW($B$9)-1,MonthlyPayment," ")</f>
        <v>2017.0915511034575</v>
      </c>
      <c r="E68" s="24">
        <f>IF(ROW(C68)&lt;LoanPeriod*12+ROW($B$9)-1,C68*InterestRate/100/12," ")</f>
        <v>329.4263504124954</v>
      </c>
      <c r="F68" s="24">
        <f>IF(ROW(B68)&lt;LoanPeriod*12+ROW($B$9)-1,D68-E68," ")</f>
        <v>1687.6652006909621</v>
      </c>
      <c r="G68" s="24">
        <f>IF(ROW(C68)&lt;LoanPeriod*12+ROW($B$9)-1,C68-F68," ")</f>
        <v>153336.49969930688</v>
      </c>
    </row>
    <row r="69" s="0" ht="18" customHeight="0" customFormat="0">
      <c r="A69" t="s">
        <v>2</v>
      </c>
      <c r="B69" s="23">
        <f>IF(ROW(B69)&lt;LoanPeriod*12+ROW($B$9)-1,EDATE(B68,1)," ")</f>
        <v>47880</v>
      </c>
      <c r="C69" s="24">
        <f>IF(ROW(B69)&lt;LoanPeriod*12+ROW($B$9)-1,G68," ")</f>
        <v>153336.49969930688</v>
      </c>
      <c r="D69" s="24">
        <f>IF(ROW(C69)&lt;LoanPeriod*12+ROW($B$9)-1,MonthlyPayment," ")</f>
        <v>2017.0915511034575</v>
      </c>
      <c r="E69" s="24">
        <f>IF(ROW(C69)&lt;LoanPeriod*12+ROW($B$9)-1,C69*InterestRate/100/12," ")</f>
        <v>325.8400618610271</v>
      </c>
      <c r="F69" s="24">
        <f>IF(ROW(B69)&lt;LoanPeriod*12+ROW($B$9)-1,D69-E69," ")</f>
        <v>1691.2514892424304</v>
      </c>
      <c r="G69" s="24">
        <f>IF(ROW(C69)&lt;LoanPeriod*12+ROW($B$9)-1,C69-F69," ")</f>
        <v>151645.24821006446</v>
      </c>
    </row>
    <row r="70" s="0" ht="18" customHeight="0" customFormat="0">
      <c r="A70" t="s">
        <v>2</v>
      </c>
      <c r="B70" s="23">
        <f>IF(ROW(B70)&lt;LoanPeriod*12+ROW($B$9)-1,EDATE(B69,1)," ")</f>
        <v>47908</v>
      </c>
      <c r="C70" s="24">
        <f>IF(ROW(B70)&lt;LoanPeriod*12+ROW($B$9)-1,G69," ")</f>
        <v>151645.24821006446</v>
      </c>
      <c r="D70" s="24">
        <f>IF(ROW(C70)&lt;LoanPeriod*12+ROW($B$9)-1,MonthlyPayment," ")</f>
        <v>2017.0915511034575</v>
      </c>
      <c r="E70" s="24">
        <f>IF(ROW(C70)&lt;LoanPeriod*12+ROW($B$9)-1,C70*InterestRate/100/12," ")</f>
        <v>322.24615244638693</v>
      </c>
      <c r="F70" s="24">
        <f>IF(ROW(B70)&lt;LoanPeriod*12+ROW($B$9)-1,D70-E70," ")</f>
        <v>1694.8453986570705</v>
      </c>
      <c r="G70" s="24">
        <f>IF(ROW(C70)&lt;LoanPeriod*12+ROW($B$9)-1,C70-F70," ")</f>
        <v>149950.40281140737</v>
      </c>
    </row>
    <row r="71" s="0" ht="18" customHeight="0" customFormat="0">
      <c r="A71" t="s">
        <v>2</v>
      </c>
      <c r="B71" s="23">
        <f>IF(ROW(B71)&lt;LoanPeriod*12+ROW($B$9)-1,EDATE(B70,1)," ")</f>
        <v>47939</v>
      </c>
      <c r="C71" s="24">
        <f>IF(ROW(B71)&lt;LoanPeriod*12+ROW($B$9)-1,G70," ")</f>
        <v>149950.40281140737</v>
      </c>
      <c r="D71" s="24">
        <f>IF(ROW(C71)&lt;LoanPeriod*12+ROW($B$9)-1,MonthlyPayment," ")</f>
        <v>2017.0915511034575</v>
      </c>
      <c r="E71" s="24">
        <f>IF(ROW(C71)&lt;LoanPeriod*12+ROW($B$9)-1,C71*InterestRate/100/12," ")</f>
        <v>318.6446059742406</v>
      </c>
      <c r="F71" s="24">
        <f>IF(ROW(B71)&lt;LoanPeriod*12+ROW($B$9)-1,D71-E71," ")</f>
        <v>1698.4469451292168</v>
      </c>
      <c r="G71" s="24">
        <f>IF(ROW(C71)&lt;LoanPeriod*12+ROW($B$9)-1,C71-F71," ")</f>
        <v>148251.95586627815</v>
      </c>
    </row>
    <row r="72" s="0" ht="18" customHeight="0" customFormat="0">
      <c r="A72" t="s">
        <v>2</v>
      </c>
      <c r="B72" s="23">
        <f>IF(ROW(B72)&lt;LoanPeriod*12+ROW($B$9)-1,EDATE(B71,1)," ")</f>
        <v>47969</v>
      </c>
      <c r="C72" s="24">
        <f>IF(ROW(B72)&lt;LoanPeriod*12+ROW($B$9)-1,G71," ")</f>
        <v>148251.95586627815</v>
      </c>
      <c r="D72" s="24">
        <f>IF(ROW(C72)&lt;LoanPeriod*12+ROW($B$9)-1,MonthlyPayment," ")</f>
        <v>2017.0915511034575</v>
      </c>
      <c r="E72" s="24">
        <f>IF(ROW(C72)&lt;LoanPeriod*12+ROW($B$9)-1,C72*InterestRate/100/12," ")</f>
        <v>315.0354062158411</v>
      </c>
      <c r="F72" s="24">
        <f>IF(ROW(B72)&lt;LoanPeriod*12+ROW($B$9)-1,D72-E72," ")</f>
        <v>1702.0561448876165</v>
      </c>
      <c r="G72" s="24">
        <f>IF(ROW(C72)&lt;LoanPeriod*12+ROW($B$9)-1,C72-F72," ")</f>
        <v>146549.89972139054</v>
      </c>
    </row>
    <row r="73" s="0" ht="18" customHeight="0" customFormat="0">
      <c r="A73" t="s">
        <v>2</v>
      </c>
      <c r="B73" s="23">
        <f>IF(ROW(B73)&lt;LoanPeriod*12+ROW($B$9)-1,EDATE(B72,1)," ")</f>
        <v>48000</v>
      </c>
      <c r="C73" s="24">
        <f>IF(ROW(B73)&lt;LoanPeriod*12+ROW($B$9)-1,G72," ")</f>
        <v>146549.89972139054</v>
      </c>
      <c r="D73" s="24">
        <f>IF(ROW(C73)&lt;LoanPeriod*12+ROW($B$9)-1,MonthlyPayment," ")</f>
        <v>2017.0915511034575</v>
      </c>
      <c r="E73" s="24">
        <f>IF(ROW(C73)&lt;LoanPeriod*12+ROW($B$9)-1,C73*InterestRate/100/12," ")</f>
        <v>311.4185369079549</v>
      </c>
      <c r="F73" s="24">
        <f>IF(ROW(B73)&lt;LoanPeriod*12+ROW($B$9)-1,D73-E73," ")</f>
        <v>1705.6730141955027</v>
      </c>
      <c r="G73" s="24">
        <f>IF(ROW(C73)&lt;LoanPeriod*12+ROW($B$9)-1,C73-F73," ")</f>
        <v>144844.22670719505</v>
      </c>
    </row>
    <row r="74" s="0" ht="18" customHeight="0" customFormat="0">
      <c r="A74" t="s">
        <v>2</v>
      </c>
      <c r="B74" s="23">
        <f>IF(ROW(B74)&lt;LoanPeriod*12+ROW($B$9)-1,EDATE(B73,1)," ")</f>
        <v>48030</v>
      </c>
      <c r="C74" s="24">
        <f>IF(ROW(B74)&lt;LoanPeriod*12+ROW($B$9)-1,G73," ")</f>
        <v>144844.22670719505</v>
      </c>
      <c r="D74" s="24">
        <f>IF(ROW(C74)&lt;LoanPeriod*12+ROW($B$9)-1,MonthlyPayment," ")</f>
        <v>2017.0915511034575</v>
      </c>
      <c r="E74" s="24">
        <f>IF(ROW(C74)&lt;LoanPeriod*12+ROW($B$9)-1,C74*InterestRate/100/12," ")</f>
        <v>307.7939817527894</v>
      </c>
      <c r="F74" s="24">
        <f>IF(ROW(B74)&lt;LoanPeriod*12+ROW($B$9)-1,D74-E74," ")</f>
        <v>1709.297569350668</v>
      </c>
      <c r="G74" s="24">
        <f>IF(ROW(C74)&lt;LoanPeriod*12+ROW($B$9)-1,C74-F74," ")</f>
        <v>143134.9291378444</v>
      </c>
    </row>
    <row r="75" s="0" ht="18" customHeight="0" customFormat="0">
      <c r="A75" t="s">
        <v>2</v>
      </c>
      <c r="B75" s="23">
        <f>IF(ROW(B75)&lt;LoanPeriod*12+ROW($B$9)-1,EDATE(B74,1)," ")</f>
        <v>48061</v>
      </c>
      <c r="C75" s="24">
        <f>IF(ROW(B75)&lt;LoanPeriod*12+ROW($B$9)-1,G74," ")</f>
        <v>143134.9291378444</v>
      </c>
      <c r="D75" s="24">
        <f>IF(ROW(C75)&lt;LoanPeriod*12+ROW($B$9)-1,MonthlyPayment," ")</f>
        <v>2017.0915511034575</v>
      </c>
      <c r="E75" s="24">
        <f>IF(ROW(C75)&lt;LoanPeriod*12+ROW($B$9)-1,C75*InterestRate/100/12," ")</f>
        <v>304.1617244179193</v>
      </c>
      <c r="F75" s="24">
        <f>IF(ROW(B75)&lt;LoanPeriod*12+ROW($B$9)-1,D75-E75," ")</f>
        <v>1712.9298266855383</v>
      </c>
      <c r="G75" s="24">
        <f>IF(ROW(C75)&lt;LoanPeriod*12+ROW($B$9)-1,C75-F75," ")</f>
        <v>141421.99931115884</v>
      </c>
    </row>
    <row r="76" s="0" ht="18" customHeight="0" customFormat="0">
      <c r="A76" t="s">
        <v>2</v>
      </c>
      <c r="B76" s="23">
        <f>IF(ROW(B76)&lt;LoanPeriod*12+ROW($B$9)-1,EDATE(B75,1)," ")</f>
        <v>48092</v>
      </c>
      <c r="C76" s="24">
        <f>IF(ROW(B76)&lt;LoanPeriod*12+ROW($B$9)-1,G75," ")</f>
        <v>141421.99931115884</v>
      </c>
      <c r="D76" s="24">
        <f>IF(ROW(C76)&lt;LoanPeriod*12+ROW($B$9)-1,MonthlyPayment," ")</f>
        <v>2017.0915511034575</v>
      </c>
      <c r="E76" s="24">
        <f>IF(ROW(C76)&lt;LoanPeriod*12+ROW($B$9)-1,C76*InterestRate/100/12," ")</f>
        <v>300.5217485362125</v>
      </c>
      <c r="F76" s="24">
        <f>IF(ROW(B76)&lt;LoanPeriod*12+ROW($B$9)-1,D76-E76," ")</f>
        <v>1716.569802567245</v>
      </c>
      <c r="G76" s="24">
        <f>IF(ROW(C76)&lt;LoanPeriod*12+ROW($B$9)-1,C76-F76," ")</f>
        <v>139705.4295085916</v>
      </c>
    </row>
    <row r="77" s="0" ht="18" customHeight="0" customFormat="0">
      <c r="A77" t="s">
        <v>2</v>
      </c>
      <c r="B77" s="23">
        <f>IF(ROW(B77)&lt;LoanPeriod*12+ROW($B$9)-1,EDATE(B76,1)," ")</f>
        <v>48122</v>
      </c>
      <c r="C77" s="24">
        <f>IF(ROW(B77)&lt;LoanPeriod*12+ROW($B$9)-1,G76," ")</f>
        <v>139705.4295085916</v>
      </c>
      <c r="D77" s="24">
        <f>IF(ROW(C77)&lt;LoanPeriod*12+ROW($B$9)-1,MonthlyPayment," ")</f>
        <v>2017.0915511034575</v>
      </c>
      <c r="E77" s="24">
        <f>IF(ROW(C77)&lt;LoanPeriod*12+ROW($B$9)-1,C77*InterestRate/100/12," ")</f>
        <v>296.87403770575713</v>
      </c>
      <c r="F77" s="24">
        <f>IF(ROW(B77)&lt;LoanPeriod*12+ROW($B$9)-1,D77-E77," ")</f>
        <v>1720.2175133977003</v>
      </c>
      <c r="G77" s="24">
        <f>IF(ROW(C77)&lt;LoanPeriod*12+ROW($B$9)-1,C77-F77," ")</f>
        <v>137985.21199519388</v>
      </c>
    </row>
    <row r="78" s="0" ht="18" customHeight="0" customFormat="0">
      <c r="A78" t="s">
        <v>2</v>
      </c>
      <c r="B78" s="23">
        <f>IF(ROW(B78)&lt;LoanPeriod*12+ROW($B$9)-1,EDATE(B77,1)," ")</f>
        <v>48153</v>
      </c>
      <c r="C78" s="24">
        <f>IF(ROW(B78)&lt;LoanPeriod*12+ROW($B$9)-1,G77," ")</f>
        <v>137985.21199519388</v>
      </c>
      <c r="D78" s="24">
        <f>IF(ROW(C78)&lt;LoanPeriod*12+ROW($B$9)-1,MonthlyPayment," ")</f>
        <v>2017.0915511034575</v>
      </c>
      <c r="E78" s="24">
        <f>IF(ROW(C78)&lt;LoanPeriod*12+ROW($B$9)-1,C78*InterestRate/100/12," ")</f>
        <v>293.218575489787</v>
      </c>
      <c r="F78" s="24">
        <f>IF(ROW(B78)&lt;LoanPeriod*12+ROW($B$9)-1,D78-E78," ")</f>
        <v>1723.8729756136704</v>
      </c>
      <c r="G78" s="24">
        <f>IF(ROW(C78)&lt;LoanPeriod*12+ROW($B$9)-1,C78-F78," ")</f>
        <v>136261.33901958022</v>
      </c>
    </row>
    <row r="79" s="0" ht="18" customHeight="0" customFormat="0">
      <c r="A79" t="s">
        <v>2</v>
      </c>
      <c r="B79" s="23">
        <f>IF(ROW(B79)&lt;LoanPeriod*12+ROW($B$9)-1,EDATE(B78,1)," ")</f>
        <v>48183</v>
      </c>
      <c r="C79" s="24">
        <f>IF(ROW(B79)&lt;LoanPeriod*12+ROW($B$9)-1,G78," ")</f>
        <v>136261.33901958022</v>
      </c>
      <c r="D79" s="24">
        <f>IF(ROW(C79)&lt;LoanPeriod*12+ROW($B$9)-1,MonthlyPayment," ")</f>
        <v>2017.0915511034575</v>
      </c>
      <c r="E79" s="24">
        <f>IF(ROW(C79)&lt;LoanPeriod*12+ROW($B$9)-1,C79*InterestRate/100/12," ")</f>
        <v>289.55534541660796</v>
      </c>
      <c r="F79" s="24">
        <f>IF(ROW(B79)&lt;LoanPeriod*12+ROW($B$9)-1,D79-E79," ")</f>
        <v>1727.5362056868496</v>
      </c>
      <c r="G79" s="24">
        <f>IF(ROW(C79)&lt;LoanPeriod*12+ROW($B$9)-1,C79-F79," ")</f>
        <v>134533.80281389336</v>
      </c>
    </row>
    <row r="80" s="0" ht="18" customHeight="0" customFormat="0">
      <c r="A80" t="s">
        <v>2</v>
      </c>
      <c r="B80" s="23">
        <f>IF(ROW(B80)&lt;LoanPeriod*12+ROW($B$9)-1,EDATE(B79,1)," ")</f>
        <v>48214</v>
      </c>
      <c r="C80" s="24">
        <f>IF(ROW(B80)&lt;LoanPeriod*12+ROW($B$9)-1,G79," ")</f>
        <v>134533.80281389336</v>
      </c>
      <c r="D80" s="24">
        <f>IF(ROW(C80)&lt;LoanPeriod*12+ROW($B$9)-1,MonthlyPayment," ")</f>
        <v>2017.0915511034575</v>
      </c>
      <c r="E80" s="24">
        <f>IF(ROW(C80)&lt;LoanPeriod*12+ROW($B$9)-1,C80*InterestRate/100/12," ")</f>
        <v>285.8843309795234</v>
      </c>
      <c r="F80" s="24">
        <f>IF(ROW(B80)&lt;LoanPeriod*12+ROW($B$9)-1,D80-E80," ")</f>
        <v>1731.2072201239341</v>
      </c>
      <c r="G80" s="24">
        <f>IF(ROW(C80)&lt;LoanPeriod*12+ROW($B$9)-1,C80-F80," ")</f>
        <v>132802.59559376942</v>
      </c>
    </row>
    <row r="81" s="0" ht="18" customHeight="0" customFormat="0">
      <c r="A81" t="s">
        <v>2</v>
      </c>
      <c r="B81" s="23">
        <f>IF(ROW(B81)&lt;LoanPeriod*12+ROW($B$9)-1,EDATE(B80,1)," ")</f>
        <v>48245</v>
      </c>
      <c r="C81" s="24">
        <f>IF(ROW(B81)&lt;LoanPeriod*12+ROW($B$9)-1,G80," ")</f>
        <v>132802.59559376942</v>
      </c>
      <c r="D81" s="24">
        <f>IF(ROW(C81)&lt;LoanPeriod*12+ROW($B$9)-1,MonthlyPayment," ")</f>
        <v>2017.0915511034575</v>
      </c>
      <c r="E81" s="24">
        <f>IF(ROW(C81)&lt;LoanPeriod*12+ROW($B$9)-1,C81*InterestRate/100/12," ")</f>
        <v>282.20551563676</v>
      </c>
      <c r="F81" s="24">
        <f>IF(ROW(B81)&lt;LoanPeriod*12+ROW($B$9)-1,D81-E81," ")</f>
        <v>1734.8860354666974</v>
      </c>
      <c r="G81" s="24">
        <f>IF(ROW(C81)&lt;LoanPeriod*12+ROW($B$9)-1,C81-F81," ")</f>
        <v>131067.70955830273</v>
      </c>
    </row>
    <row r="82" s="0" ht="18" customHeight="0" customFormat="0">
      <c r="A82" t="s">
        <v>2</v>
      </c>
      <c r="B82" s="23">
        <f>IF(ROW(B82)&lt;LoanPeriod*12+ROW($B$9)-1,EDATE(B81,1)," ")</f>
        <v>48274</v>
      </c>
      <c r="C82" s="24">
        <f>IF(ROW(B82)&lt;LoanPeriod*12+ROW($B$9)-1,G81," ")</f>
        <v>131067.70955830273</v>
      </c>
      <c r="D82" s="24">
        <f>IF(ROW(C82)&lt;LoanPeriod*12+ROW($B$9)-1,MonthlyPayment," ")</f>
        <v>2017.0915511034575</v>
      </c>
      <c r="E82" s="24">
        <f>IF(ROW(C82)&lt;LoanPeriod*12+ROW($B$9)-1,C82*InterestRate/100/12," ")</f>
        <v>278.51888281139327</v>
      </c>
      <c r="F82" s="24">
        <f>IF(ROW(B82)&lt;LoanPeriod*12+ROW($B$9)-1,D82-E82," ")</f>
        <v>1738.5726682920642</v>
      </c>
      <c r="G82" s="24">
        <f>IF(ROW(C82)&lt;LoanPeriod*12+ROW($B$9)-1,C82-F82," ")</f>
        <v>129329.13689001066</v>
      </c>
    </row>
    <row r="83" s="0" ht="18" customHeight="0" customFormat="0">
      <c r="A83" t="s">
        <v>2</v>
      </c>
      <c r="B83" s="23">
        <f>IF(ROW(B83)&lt;LoanPeriod*12+ROW($B$9)-1,EDATE(B82,1)," ")</f>
        <v>48305</v>
      </c>
      <c r="C83" s="24">
        <f>IF(ROW(B83)&lt;LoanPeriod*12+ROW($B$9)-1,G82," ")</f>
        <v>129329.13689001066</v>
      </c>
      <c r="D83" s="24">
        <f>IF(ROW(C83)&lt;LoanPeriod*12+ROW($B$9)-1,MonthlyPayment," ")</f>
        <v>2017.0915511034575</v>
      </c>
      <c r="E83" s="24">
        <f>IF(ROW(C83)&lt;LoanPeriod*12+ROW($B$9)-1,C83*InterestRate/100/12," ")</f>
        <v>274.8244158912726</v>
      </c>
      <c r="F83" s="24">
        <f>IF(ROW(B83)&lt;LoanPeriod*12+ROW($B$9)-1,D83-E83," ")</f>
        <v>1742.267135212185</v>
      </c>
      <c r="G83" s="24">
        <f>IF(ROW(C83)&lt;LoanPeriod*12+ROW($B$9)-1,C83-F83," ")</f>
        <v>127586.86975479848</v>
      </c>
    </row>
    <row r="84" s="0" ht="18" customHeight="0" customFormat="0">
      <c r="A84" t="s">
        <v>2</v>
      </c>
      <c r="B84" s="23">
        <f>IF(ROW(B84)&lt;LoanPeriod*12+ROW($B$9)-1,EDATE(B83,1)," ")</f>
        <v>48335</v>
      </c>
      <c r="C84" s="24">
        <f>IF(ROW(B84)&lt;LoanPeriod*12+ROW($B$9)-1,G83," ")</f>
        <v>127586.86975479848</v>
      </c>
      <c r="D84" s="24">
        <f>IF(ROW(C84)&lt;LoanPeriod*12+ROW($B$9)-1,MonthlyPayment," ")</f>
        <v>2017.0915511034575</v>
      </c>
      <c r="E84" s="24">
        <f>IF(ROW(C84)&lt;LoanPeriod*12+ROW($B$9)-1,C84*InterestRate/100/12," ")</f>
        <v>271.12209822894675</v>
      </c>
      <c r="F84" s="24">
        <f>IF(ROW(B84)&lt;LoanPeriod*12+ROW($B$9)-1,D84-E84," ")</f>
        <v>1745.9694528745108</v>
      </c>
      <c r="G84" s="24">
        <f>IF(ROW(C84)&lt;LoanPeriod*12+ROW($B$9)-1,C84-F84," ")</f>
        <v>125840.90030192396</v>
      </c>
    </row>
    <row r="85" s="0" ht="18" customHeight="0" customFormat="0">
      <c r="A85" t="s">
        <v>2</v>
      </c>
      <c r="B85" s="23">
        <f>IF(ROW(B85)&lt;LoanPeriod*12+ROW($B$9)-1,EDATE(B84,1)," ")</f>
        <v>48366</v>
      </c>
      <c r="C85" s="24">
        <f>IF(ROW(B85)&lt;LoanPeriod*12+ROW($B$9)-1,G84," ")</f>
        <v>125840.90030192396</v>
      </c>
      <c r="D85" s="24">
        <f>IF(ROW(C85)&lt;LoanPeriod*12+ROW($B$9)-1,MonthlyPayment," ")</f>
        <v>2017.0915511034575</v>
      </c>
      <c r="E85" s="24">
        <f>IF(ROW(C85)&lt;LoanPeriod*12+ROW($B$9)-1,C85*InterestRate/100/12," ")</f>
        <v>267.4119131415884</v>
      </c>
      <c r="F85" s="24">
        <f>IF(ROW(B85)&lt;LoanPeriod*12+ROW($B$9)-1,D85-E85," ")</f>
        <v>1749.679637961869</v>
      </c>
      <c r="G85" s="24">
        <f>IF(ROW(C85)&lt;LoanPeriod*12+ROW($B$9)-1,C85-F85," ")</f>
        <v>124091.22066396209</v>
      </c>
    </row>
    <row r="86" s="0" ht="18" customHeight="0" customFormat="0">
      <c r="A86" t="s">
        <v>2</v>
      </c>
      <c r="B86" s="23">
        <f>IF(ROW(B86)&lt;LoanPeriod*12+ROW($B$9)-1,EDATE(B85,1)," ")</f>
        <v>48396</v>
      </c>
      <c r="C86" s="24">
        <f>IF(ROW(B86)&lt;LoanPeriod*12+ROW($B$9)-1,G85," ")</f>
        <v>124091.22066396209</v>
      </c>
      <c r="D86" s="24">
        <f>IF(ROW(C86)&lt;LoanPeriod*12+ROW($B$9)-1,MonthlyPayment," ")</f>
        <v>2017.0915511034575</v>
      </c>
      <c r="E86" s="24">
        <f>IF(ROW(C86)&lt;LoanPeriod*12+ROW($B$9)-1,C86*InterestRate/100/12," ")</f>
        <v>263.69384391091944</v>
      </c>
      <c r="F86" s="24">
        <f>IF(ROW(B86)&lt;LoanPeriod*12+ROW($B$9)-1,D86-E86," ")</f>
        <v>1753.397707192538</v>
      </c>
      <c r="G86" s="24">
        <f>IF(ROW(C86)&lt;LoanPeriod*12+ROW($B$9)-1,C86-F86," ")</f>
        <v>122337.82295676955</v>
      </c>
    </row>
    <row r="87" s="0" ht="18" customHeight="0" customFormat="0">
      <c r="A87" t="s">
        <v>2</v>
      </c>
      <c r="B87" s="23">
        <f>IF(ROW(B87)&lt;LoanPeriod*12+ROW($B$9)-1,EDATE(B86,1)," ")</f>
        <v>48427</v>
      </c>
      <c r="C87" s="24">
        <f>IF(ROW(B87)&lt;LoanPeriod*12+ROW($B$9)-1,G86," ")</f>
        <v>122337.82295676955</v>
      </c>
      <c r="D87" s="24">
        <f>IF(ROW(C87)&lt;LoanPeriod*12+ROW($B$9)-1,MonthlyPayment," ")</f>
        <v>2017.0915511034575</v>
      </c>
      <c r="E87" s="24">
        <f>IF(ROW(C87)&lt;LoanPeriod*12+ROW($B$9)-1,C87*InterestRate/100/12," ")</f>
        <v>259.9678737831353</v>
      </c>
      <c r="F87" s="24">
        <f>IF(ROW(B87)&lt;LoanPeriod*12+ROW($B$9)-1,D87-E87," ")</f>
        <v>1757.1236773203223</v>
      </c>
      <c r="G87" s="24">
        <f>IF(ROW(C87)&lt;LoanPeriod*12+ROW($B$9)-1,C87-F87," ")</f>
        <v>120580.69927944923</v>
      </c>
    </row>
    <row r="88" s="0" ht="18" customHeight="0" customFormat="0">
      <c r="A88" t="s">
        <v>2</v>
      </c>
      <c r="B88" s="23">
        <f>IF(ROW(B88)&lt;LoanPeriod*12+ROW($B$9)-1,EDATE(B87,1)," ")</f>
        <v>48458</v>
      </c>
      <c r="C88" s="24">
        <f>IF(ROW(B88)&lt;LoanPeriod*12+ROW($B$9)-1,G87," ")</f>
        <v>120580.69927944923</v>
      </c>
      <c r="D88" s="24">
        <f>IF(ROW(C88)&lt;LoanPeriod*12+ROW($B$9)-1,MonthlyPayment," ")</f>
        <v>2017.0915511034575</v>
      </c>
      <c r="E88" s="24">
        <f>IF(ROW(C88)&lt;LoanPeriod*12+ROW($B$9)-1,C88*InterestRate/100/12," ")</f>
        <v>256.2339859688296</v>
      </c>
      <c r="F88" s="24">
        <f>IF(ROW(B88)&lt;LoanPeriod*12+ROW($B$9)-1,D88-E88," ")</f>
        <v>1760.857565134628</v>
      </c>
      <c r="G88" s="24">
        <f>IF(ROW(C88)&lt;LoanPeriod*12+ROW($B$9)-1,C88-F88," ")</f>
        <v>118819.84171431459</v>
      </c>
    </row>
    <row r="89" s="0" ht="18" customHeight="0" customFormat="0">
      <c r="A89" t="s">
        <v>2</v>
      </c>
      <c r="B89" s="23">
        <f>IF(ROW(B89)&lt;LoanPeriod*12+ROW($B$9)-1,EDATE(B88,1)," ")</f>
        <v>48488</v>
      </c>
      <c r="C89" s="24">
        <f>IF(ROW(B89)&lt;LoanPeriod*12+ROW($B$9)-1,G88," ")</f>
        <v>118819.84171431459</v>
      </c>
      <c r="D89" s="24">
        <f>IF(ROW(C89)&lt;LoanPeriod*12+ROW($B$9)-1,MonthlyPayment," ")</f>
        <v>2017.0915511034575</v>
      </c>
      <c r="E89" s="24">
        <f>IF(ROW(C89)&lt;LoanPeriod*12+ROW($B$9)-1,C89*InterestRate/100/12," ")</f>
        <v>252.4921636429185</v>
      </c>
      <c r="F89" s="24">
        <f>IF(ROW(B89)&lt;LoanPeriod*12+ROW($B$9)-1,D89-E89," ")</f>
        <v>1764.599387460539</v>
      </c>
      <c r="G89" s="24">
        <f>IF(ROW(C89)&lt;LoanPeriod*12+ROW($B$9)-1,C89-F89," ")</f>
        <v>117055.24232685406</v>
      </c>
    </row>
    <row r="90" s="0" ht="18" customHeight="0" customFormat="0">
      <c r="A90" t="s">
        <v>2</v>
      </c>
      <c r="B90" s="23">
        <f>IF(ROW(B90)&lt;LoanPeriod*12+ROW($B$9)-1,EDATE(B89,1)," ")</f>
        <v>48519</v>
      </c>
      <c r="C90" s="24">
        <f>IF(ROW(B90)&lt;LoanPeriod*12+ROW($B$9)-1,G89," ")</f>
        <v>117055.24232685406</v>
      </c>
      <c r="D90" s="24">
        <f>IF(ROW(C90)&lt;LoanPeriod*12+ROW($B$9)-1,MonthlyPayment," ")</f>
        <v>2017.0915511034575</v>
      </c>
      <c r="E90" s="24">
        <f>IF(ROW(C90)&lt;LoanPeriod*12+ROW($B$9)-1,C90*InterestRate/100/12," ")</f>
        <v>248.7423899445649</v>
      </c>
      <c r="F90" s="24">
        <f>IF(ROW(B90)&lt;LoanPeriod*12+ROW($B$9)-1,D90-E90," ")</f>
        <v>1768.3491611588927</v>
      </c>
      <c r="G90" s="24">
        <f>IF(ROW(C90)&lt;LoanPeriod*12+ROW($B$9)-1,C90-F90," ")</f>
        <v>115286.89316569516</v>
      </c>
    </row>
    <row r="91" s="0" ht="18" customHeight="0" customFormat="0">
      <c r="A91" t="s">
        <v>2</v>
      </c>
      <c r="B91" s="23">
        <f>IF(ROW(B91)&lt;LoanPeriod*12+ROW($B$9)-1,EDATE(B90,1)," ")</f>
        <v>48549</v>
      </c>
      <c r="C91" s="24">
        <f>IF(ROW(B91)&lt;LoanPeriod*12+ROW($B$9)-1,G90," ")</f>
        <v>115286.89316569516</v>
      </c>
      <c r="D91" s="24">
        <f>IF(ROW(C91)&lt;LoanPeriod*12+ROW($B$9)-1,MonthlyPayment," ")</f>
        <v>2017.0915511034575</v>
      </c>
      <c r="E91" s="24">
        <f>IF(ROW(C91)&lt;LoanPeriod*12+ROW($B$9)-1,C91*InterestRate/100/12," ")</f>
        <v>244.98464797710218</v>
      </c>
      <c r="F91" s="24">
        <f>IF(ROW(B91)&lt;LoanPeriod*12+ROW($B$9)-1,D91-E91," ")</f>
        <v>1772.1069031263553</v>
      </c>
      <c r="G91" s="24">
        <f>IF(ROW(C91)&lt;LoanPeriod*12+ROW($B$9)-1,C91-F91," ")</f>
        <v>113514.7862625688</v>
      </c>
    </row>
    <row r="92" s="0" ht="18" customHeight="0" customFormat="0">
      <c r="A92" t="s">
        <v>2</v>
      </c>
      <c r="B92" s="23">
        <f>IF(ROW(B92)&lt;LoanPeriod*12+ROW($B$9)-1,EDATE(B91,1)," ")</f>
        <v>48580</v>
      </c>
      <c r="C92" s="24">
        <f>IF(ROW(B92)&lt;LoanPeriod*12+ROW($B$9)-1,G91," ")</f>
        <v>113514.7862625688</v>
      </c>
      <c r="D92" s="24">
        <f>IF(ROW(C92)&lt;LoanPeriod*12+ROW($B$9)-1,MonthlyPayment," ")</f>
        <v>2017.0915511034575</v>
      </c>
      <c r="E92" s="24">
        <f>IF(ROW(C92)&lt;LoanPeriod*12+ROW($B$9)-1,C92*InterestRate/100/12," ")</f>
        <v>241.2189208079587</v>
      </c>
      <c r="F92" s="24">
        <f>IF(ROW(B92)&lt;LoanPeriod*12+ROW($B$9)-1,D92-E92," ")</f>
        <v>1775.8726302954988</v>
      </c>
      <c r="G92" s="24">
        <f>IF(ROW(C92)&lt;LoanPeriod*12+ROW($B$9)-1,C92-F92," ")</f>
        <v>111738.9136322733</v>
      </c>
    </row>
    <row r="93" s="0" ht="18" customHeight="0" customFormat="0">
      <c r="A93" t="s">
        <v>2</v>
      </c>
      <c r="B93" s="23">
        <f>IF(ROW(B93)&lt;LoanPeriod*12+ROW($B$9)-1,EDATE(B92,1)," ")</f>
        <v>48611</v>
      </c>
      <c r="C93" s="24">
        <f>IF(ROW(B93)&lt;LoanPeriod*12+ROW($B$9)-1,G92," ")</f>
        <v>111738.9136322733</v>
      </c>
      <c r="D93" s="24">
        <f>IF(ROW(C93)&lt;LoanPeriod*12+ROW($B$9)-1,MonthlyPayment," ")</f>
        <v>2017.0915511034575</v>
      </c>
      <c r="E93" s="24">
        <f>IF(ROW(C93)&lt;LoanPeriod*12+ROW($B$9)-1,C93*InterestRate/100/12," ")</f>
        <v>237.44519146858076</v>
      </c>
      <c r="F93" s="24">
        <f>IF(ROW(B93)&lt;LoanPeriod*12+ROW($B$9)-1,D93-E93," ")</f>
        <v>1779.6463596348767</v>
      </c>
      <c r="G93" s="24">
        <f>IF(ROW(C93)&lt;LoanPeriod*12+ROW($B$9)-1,C93-F93," ")</f>
        <v>109959.26727263842</v>
      </c>
    </row>
    <row r="94" s="0" ht="18" customHeight="0" customFormat="0">
      <c r="A94" t="s">
        <v>2</v>
      </c>
      <c r="B94" s="23">
        <f>IF(ROW(B94)&lt;LoanPeriod*12+ROW($B$9)-1,EDATE(B93,1)," ")</f>
        <v>48639</v>
      </c>
      <c r="C94" s="24">
        <f>IF(ROW(B94)&lt;LoanPeriod*12+ROW($B$9)-1,G93," ")</f>
        <v>109959.26727263842</v>
      </c>
      <c r="D94" s="24">
        <f>IF(ROW(C94)&lt;LoanPeriod*12+ROW($B$9)-1,MonthlyPayment," ")</f>
        <v>2017.0915511034575</v>
      </c>
      <c r="E94" s="24">
        <f>IF(ROW(C94)&lt;LoanPeriod*12+ROW($B$9)-1,C94*InterestRate/100/12," ")</f>
        <v>233.6634429543566</v>
      </c>
      <c r="F94" s="24">
        <f>IF(ROW(B94)&lt;LoanPeriod*12+ROW($B$9)-1,D94-E94," ")</f>
        <v>1783.4281081491008</v>
      </c>
      <c r="G94" s="24">
        <f>IF(ROW(C94)&lt;LoanPeriod*12+ROW($B$9)-1,C94-F94," ")</f>
        <v>108175.83916448931</v>
      </c>
    </row>
    <row r="95" s="0" ht="18" customHeight="0" customFormat="0">
      <c r="A95" t="s">
        <v>2</v>
      </c>
      <c r="B95" s="23">
        <f>IF(ROW(B95)&lt;LoanPeriod*12+ROW($B$9)-1,EDATE(B94,1)," ")</f>
        <v>48670</v>
      </c>
      <c r="C95" s="24">
        <f>IF(ROW(B95)&lt;LoanPeriod*12+ROW($B$9)-1,G94," ")</f>
        <v>108175.83916448931</v>
      </c>
      <c r="D95" s="24">
        <f>IF(ROW(C95)&lt;LoanPeriod*12+ROW($B$9)-1,MonthlyPayment," ")</f>
        <v>2017.0915511034575</v>
      </c>
      <c r="E95" s="24">
        <f>IF(ROW(C95)&lt;LoanPeriod*12+ROW($B$9)-1,C95*InterestRate/100/12," ")</f>
        <v>229.87365822453978</v>
      </c>
      <c r="F95" s="24">
        <f>IF(ROW(B95)&lt;LoanPeriod*12+ROW($B$9)-1,D95-E95," ")</f>
        <v>1787.2178928789176</v>
      </c>
      <c r="G95" s="24">
        <f>IF(ROW(C95)&lt;LoanPeriod*12+ROW($B$9)-1,C95-F95," ")</f>
        <v>106388.62127161039</v>
      </c>
    </row>
    <row r="96" s="0" ht="18" customHeight="0" customFormat="0">
      <c r="A96" t="s">
        <v>2</v>
      </c>
      <c r="B96" s="23">
        <f>IF(ROW(B96)&lt;LoanPeriod*12+ROW($B$9)-1,EDATE(B95,1)," ")</f>
        <v>48700</v>
      </c>
      <c r="C96" s="24">
        <f>IF(ROW(B96)&lt;LoanPeriod*12+ROW($B$9)-1,G95," ")</f>
        <v>106388.62127161039</v>
      </c>
      <c r="D96" s="24">
        <f>IF(ROW(C96)&lt;LoanPeriod*12+ROW($B$9)-1,MonthlyPayment," ")</f>
        <v>2017.0915511034575</v>
      </c>
      <c r="E96" s="24">
        <f>IF(ROW(C96)&lt;LoanPeriod*12+ROW($B$9)-1,C96*InterestRate/100/12," ")</f>
        <v>226.07582020217208</v>
      </c>
      <c r="F96" s="24">
        <f>IF(ROW(B96)&lt;LoanPeriod*12+ROW($B$9)-1,D96-E96," ")</f>
        <v>1791.0157309012855</v>
      </c>
      <c r="G96" s="24">
        <f>IF(ROW(C96)&lt;LoanPeriod*12+ROW($B$9)-1,C96-F96," ")</f>
        <v>104597.6055407091</v>
      </c>
    </row>
    <row r="97" s="0" ht="18" customHeight="0" customFormat="0">
      <c r="A97" t="s">
        <v>2</v>
      </c>
      <c r="B97" s="23">
        <f>IF(ROW(B97)&lt;LoanPeriod*12+ROW($B$9)-1,EDATE(B96,1)," ")</f>
        <v>48731</v>
      </c>
      <c r="C97" s="24">
        <f>IF(ROW(B97)&lt;LoanPeriod*12+ROW($B$9)-1,G96," ")</f>
        <v>104597.6055407091</v>
      </c>
      <c r="D97" s="24">
        <f>IF(ROW(C97)&lt;LoanPeriod*12+ROW($B$9)-1,MonthlyPayment," ")</f>
        <v>2017.0915511034575</v>
      </c>
      <c r="E97" s="24">
        <f>IF(ROW(C97)&lt;LoanPeriod*12+ROW($B$9)-1,C97*InterestRate/100/12," ")</f>
        <v>222.2699117740068</v>
      </c>
      <c r="F97" s="24">
        <f>IF(ROW(B97)&lt;LoanPeriod*12+ROW($B$9)-1,D97-E97," ")</f>
        <v>1794.8216393294506</v>
      </c>
      <c r="G97" s="24">
        <f>IF(ROW(C97)&lt;LoanPeriod*12+ROW($B$9)-1,C97-F97," ")</f>
        <v>102802.78390137965</v>
      </c>
    </row>
    <row r="98" s="0" ht="18" customHeight="0" customFormat="0">
      <c r="A98" t="s">
        <v>2</v>
      </c>
      <c r="B98" s="23">
        <f>IF(ROW(B98)&lt;LoanPeriod*12+ROW($B$9)-1,EDATE(B97,1)," ")</f>
        <v>48761</v>
      </c>
      <c r="C98" s="24">
        <f>IF(ROW(B98)&lt;LoanPeriod*12+ROW($B$9)-1,G97," ")</f>
        <v>102802.78390137965</v>
      </c>
      <c r="D98" s="24">
        <f>IF(ROW(C98)&lt;LoanPeriod*12+ROW($B$9)-1,MonthlyPayment," ")</f>
        <v>2017.0915511034575</v>
      </c>
      <c r="E98" s="24">
        <f>IF(ROW(C98)&lt;LoanPeriod*12+ROW($B$9)-1,C98*InterestRate/100/12," ")</f>
        <v>218.45591579043176</v>
      </c>
      <c r="F98" s="24">
        <f>IF(ROW(B98)&lt;LoanPeriod*12+ROW($B$9)-1,D98-E98," ")</f>
        <v>1798.6356353130257</v>
      </c>
      <c r="G98" s="24">
        <f>IF(ROW(C98)&lt;LoanPeriod*12+ROW($B$9)-1,C98-F98," ")</f>
        <v>101004.14826606662</v>
      </c>
    </row>
    <row r="99" s="0" ht="18" customHeight="0" customFormat="0">
      <c r="A99" t="s">
        <v>2</v>
      </c>
      <c r="B99" s="23">
        <f>IF(ROW(B99)&lt;LoanPeriod*12+ROW($B$9)-1,EDATE(B98,1)," ")</f>
        <v>48792</v>
      </c>
      <c r="C99" s="24">
        <f>IF(ROW(B99)&lt;LoanPeriod*12+ROW($B$9)-1,G98," ")</f>
        <v>101004.14826606662</v>
      </c>
      <c r="D99" s="24">
        <f>IF(ROW(C99)&lt;LoanPeriod*12+ROW($B$9)-1,MonthlyPayment," ")</f>
        <v>2017.0915511034575</v>
      </c>
      <c r="E99" s="24">
        <f>IF(ROW(C99)&lt;LoanPeriod*12+ROW($B$9)-1,C99*InterestRate/100/12," ")</f>
        <v>214.63381506539156</v>
      </c>
      <c r="F99" s="24">
        <f>IF(ROW(B99)&lt;LoanPeriod*12+ROW($B$9)-1,D99-E99," ")</f>
        <v>1802.4577360380658</v>
      </c>
      <c r="G99" s="24">
        <f>IF(ROW(C99)&lt;LoanPeriod*12+ROW($B$9)-1,C99-F99," ")</f>
        <v>99201.69053002856</v>
      </c>
    </row>
    <row r="100" s="0" ht="18" customHeight="0" customFormat="0">
      <c r="A100" t="s">
        <v>2</v>
      </c>
      <c r="B100" s="23">
        <f>IF(ROW(B100)&lt;LoanPeriod*12+ROW($B$9)-1,EDATE(B99,1)," ")</f>
        <v>48823</v>
      </c>
      <c r="C100" s="24">
        <f>IF(ROW(B100)&lt;LoanPeriod*12+ROW($B$9)-1,G99," ")</f>
        <v>99201.69053002856</v>
      </c>
      <c r="D100" s="24">
        <f>IF(ROW(C100)&lt;LoanPeriod*12+ROW($B$9)-1,MonthlyPayment," ")</f>
        <v>2017.0915511034575</v>
      </c>
      <c r="E100" s="24">
        <f>IF(ROW(C100)&lt;LoanPeriod*12+ROW($B$9)-1,C100*InterestRate/100/12," ")</f>
        <v>210.8035923763107</v>
      </c>
      <c r="F100" s="24">
        <f>IF(ROW(B100)&lt;LoanPeriod*12+ROW($B$9)-1,D100-E100," ")</f>
        <v>1806.2879587271468</v>
      </c>
      <c r="G100" s="24">
        <f>IF(ROW(C100)&lt;LoanPeriod*12+ROW($B$9)-1,C100-F100," ")</f>
        <v>97395.40257130141</v>
      </c>
    </row>
    <row r="101" s="0" ht="18" customHeight="0" customFormat="0">
      <c r="A101" t="s">
        <v>2</v>
      </c>
      <c r="B101" s="23">
        <f>IF(ROW(B101)&lt;LoanPeriod*12+ROW($B$9)-1,EDATE(B100,1)," ")</f>
        <v>48853</v>
      </c>
      <c r="C101" s="24">
        <f>IF(ROW(B101)&lt;LoanPeriod*12+ROW($B$9)-1,G100," ")</f>
        <v>97395.40257130141</v>
      </c>
      <c r="D101" s="24">
        <f>IF(ROW(C101)&lt;LoanPeriod*12+ROW($B$9)-1,MonthlyPayment," ")</f>
        <v>2017.0915511034575</v>
      </c>
      <c r="E101" s="24">
        <f>IF(ROW(C101)&lt;LoanPeriod*12+ROW($B$9)-1,C101*InterestRate/100/12," ")</f>
        <v>206.96523046401546</v>
      </c>
      <c r="F101" s="24">
        <f>IF(ROW(B101)&lt;LoanPeriod*12+ROW($B$9)-1,D101-E101," ")</f>
        <v>1810.126320639442</v>
      </c>
      <c r="G101" s="24">
        <f>IF(ROW(C101)&lt;LoanPeriod*12+ROW($B$9)-1,C101-F101," ")</f>
        <v>95585.27625066198</v>
      </c>
    </row>
    <row r="102" s="0" ht="18" customHeight="0" customFormat="0">
      <c r="A102" t="s">
        <v>2</v>
      </c>
      <c r="B102" s="23">
        <f>IF(ROW(B102)&lt;LoanPeriod*12+ROW($B$9)-1,EDATE(B101,1)," ")</f>
        <v>48884</v>
      </c>
      <c r="C102" s="24">
        <f>IF(ROW(B102)&lt;LoanPeriod*12+ROW($B$9)-1,G101," ")</f>
        <v>95585.27625066198</v>
      </c>
      <c r="D102" s="24">
        <f>IF(ROW(C102)&lt;LoanPeriod*12+ROW($B$9)-1,MonthlyPayment," ")</f>
        <v>2017.0915511034575</v>
      </c>
      <c r="E102" s="24">
        <f>IF(ROW(C102)&lt;LoanPeriod*12+ROW($B$9)-1,C102*InterestRate/100/12," ")</f>
        <v>203.1187120326567</v>
      </c>
      <c r="F102" s="24">
        <f>IF(ROW(B102)&lt;LoanPeriod*12+ROW($B$9)-1,D102-E102," ")</f>
        <v>1813.9728390708008</v>
      </c>
      <c r="G102" s="24">
        <f>IF(ROW(C102)&lt;LoanPeriod*12+ROW($B$9)-1,C102-F102," ")</f>
        <v>93771.30341159117</v>
      </c>
    </row>
    <row r="103" s="0" ht="18" customHeight="0" customFormat="0">
      <c r="A103" t="s">
        <v>2</v>
      </c>
      <c r="B103" s="23">
        <f>IF(ROW(B103)&lt;LoanPeriod*12+ROW($B$9)-1,EDATE(B102,1)," ")</f>
        <v>48914</v>
      </c>
      <c r="C103" s="24">
        <f>IF(ROW(B103)&lt;LoanPeriod*12+ROW($B$9)-1,G102," ")</f>
        <v>93771.30341159117</v>
      </c>
      <c r="D103" s="24">
        <f>IF(ROW(C103)&lt;LoanPeriod*12+ROW($B$9)-1,MonthlyPayment," ")</f>
        <v>2017.0915511034575</v>
      </c>
      <c r="E103" s="24">
        <f>IF(ROW(C103)&lt;LoanPeriod*12+ROW($B$9)-1,C103*InterestRate/100/12," ")</f>
        <v>199.26401974963122</v>
      </c>
      <c r="F103" s="24">
        <f>IF(ROW(B103)&lt;LoanPeriod*12+ROW($B$9)-1,D103-E103," ")</f>
        <v>1817.8275313538263</v>
      </c>
      <c r="G103" s="24">
        <f>IF(ROW(C103)&lt;LoanPeriod*12+ROW($B$9)-1,C103-F103," ")</f>
        <v>91953.47588023734</v>
      </c>
    </row>
    <row r="104" s="0" ht="18" customHeight="0" customFormat="0">
      <c r="A104" t="s">
        <v>2</v>
      </c>
      <c r="B104" s="23">
        <f>IF(ROW(B104)&lt;LoanPeriod*12+ROW($B$9)-1,EDATE(B103,1)," ")</f>
        <v>48945</v>
      </c>
      <c r="C104" s="24">
        <f>IF(ROW(B104)&lt;LoanPeriod*12+ROW($B$9)-1,G103," ")</f>
        <v>91953.47588023734</v>
      </c>
      <c r="D104" s="24">
        <f>IF(ROW(C104)&lt;LoanPeriod*12+ROW($B$9)-1,MonthlyPayment," ")</f>
        <v>2017.0915511034575</v>
      </c>
      <c r="E104" s="24">
        <f>IF(ROW(C104)&lt;LoanPeriod*12+ROW($B$9)-1,C104*InterestRate/100/12," ")</f>
        <v>195.40113624550432</v>
      </c>
      <c r="F104" s="24">
        <f>IF(ROW(B104)&lt;LoanPeriod*12+ROW($B$9)-1,D104-E104," ")</f>
        <v>1821.690414857953</v>
      </c>
      <c r="G104" s="24">
        <f>IF(ROW(C104)&lt;LoanPeriod*12+ROW($B$9)-1,C104-F104," ")</f>
        <v>90131.78546537939</v>
      </c>
    </row>
    <row r="105" s="0" ht="18" customHeight="0" customFormat="0">
      <c r="A105" t="s">
        <v>2</v>
      </c>
      <c r="B105" s="23">
        <f>IF(ROW(B105)&lt;LoanPeriod*12+ROW($B$9)-1,EDATE(B104,1)," ")</f>
        <v>48976</v>
      </c>
      <c r="C105" s="24">
        <f>IF(ROW(B105)&lt;LoanPeriod*12+ROW($B$9)-1,G104," ")</f>
        <v>90131.78546537939</v>
      </c>
      <c r="D105" s="24">
        <f>IF(ROW(C105)&lt;LoanPeriod*12+ROW($B$9)-1,MonthlyPayment," ")</f>
        <v>2017.0915511034575</v>
      </c>
      <c r="E105" s="24">
        <f>IF(ROW(C105)&lt;LoanPeriod*12+ROW($B$9)-1,C105*InterestRate/100/12," ")</f>
        <v>191.5300441139312</v>
      </c>
      <c r="F105" s="24">
        <f>IF(ROW(B105)&lt;LoanPeriod*12+ROW($B$9)-1,D105-E105," ")</f>
        <v>1825.5615069895264</v>
      </c>
      <c r="G105" s="24">
        <f>IF(ROW(C105)&lt;LoanPeriod*12+ROW($B$9)-1,C105-F105," ")</f>
        <v>88306.22395838986</v>
      </c>
    </row>
    <row r="106" s="0" ht="18" customHeight="0" customFormat="0">
      <c r="A106" t="s">
        <v>2</v>
      </c>
      <c r="B106" s="23">
        <f>IF(ROW(B106)&lt;LoanPeriod*12+ROW($B$9)-1,EDATE(B105,1)," ")</f>
        <v>49004</v>
      </c>
      <c r="C106" s="24">
        <f>IF(ROW(B106)&lt;LoanPeriod*12+ROW($B$9)-1,G105," ")</f>
        <v>88306.22395838986</v>
      </c>
      <c r="D106" s="24">
        <f>IF(ROW(C106)&lt;LoanPeriod*12+ROW($B$9)-1,MonthlyPayment," ")</f>
        <v>2017.0915511034575</v>
      </c>
      <c r="E106" s="24">
        <f>IF(ROW(C106)&lt;LoanPeriod*12+ROW($B$9)-1,C106*InterestRate/100/12," ")</f>
        <v>187.65072591157843</v>
      </c>
      <c r="F106" s="24">
        <f>IF(ROW(B106)&lt;LoanPeriod*12+ROW($B$9)-1,D106-E106," ")</f>
        <v>1829.440825191879</v>
      </c>
      <c r="G106" s="24">
        <f>IF(ROW(C106)&lt;LoanPeriod*12+ROW($B$9)-1,C106-F106," ")</f>
        <v>86476.78313319798</v>
      </c>
    </row>
    <row r="107" s="0" ht="18" customHeight="0" customFormat="0">
      <c r="A107" t="s">
        <v>2</v>
      </c>
      <c r="B107" s="23">
        <f>IF(ROW(B107)&lt;LoanPeriod*12+ROW($B$9)-1,EDATE(B106,1)," ")</f>
        <v>49035</v>
      </c>
      <c r="C107" s="24">
        <f>IF(ROW(B107)&lt;LoanPeriod*12+ROW($B$9)-1,G106," ")</f>
        <v>86476.78313319798</v>
      </c>
      <c r="D107" s="24">
        <f>IF(ROW(C107)&lt;LoanPeriod*12+ROW($B$9)-1,MonthlyPayment," ")</f>
        <v>2017.0915511034575</v>
      </c>
      <c r="E107" s="24">
        <f>IF(ROW(C107)&lt;LoanPeriod*12+ROW($B$9)-1,C107*InterestRate/100/12," ")</f>
        <v>183.7631641580457</v>
      </c>
      <c r="F107" s="24">
        <f>IF(ROW(B107)&lt;LoanPeriod*12+ROW($B$9)-1,D107-E107," ")</f>
        <v>1833.3283869454117</v>
      </c>
      <c r="G107" s="24">
        <f>IF(ROW(C107)&lt;LoanPeriod*12+ROW($B$9)-1,C107-F107," ")</f>
        <v>84643.45474625257</v>
      </c>
    </row>
    <row r="108" s="0" ht="18" customHeight="0" customFormat="0">
      <c r="A108" t="s">
        <v>2</v>
      </c>
      <c r="B108" s="23">
        <f>IF(ROW(B108)&lt;LoanPeriod*12+ROW($B$9)-1,EDATE(B107,1)," ")</f>
        <v>49065</v>
      </c>
      <c r="C108" s="24">
        <f>IF(ROW(B108)&lt;LoanPeriod*12+ROW($B$9)-1,G107," ")</f>
        <v>84643.45474625257</v>
      </c>
      <c r="D108" s="24">
        <f>IF(ROW(C108)&lt;LoanPeriod*12+ROW($B$9)-1,MonthlyPayment," ")</f>
        <v>2017.0915511034575</v>
      </c>
      <c r="E108" s="24">
        <f>IF(ROW(C108)&lt;LoanPeriod*12+ROW($B$9)-1,C108*InterestRate/100/12," ")</f>
        <v>179.8673413357867</v>
      </c>
      <c r="F108" s="24">
        <f>IF(ROW(B108)&lt;LoanPeriod*12+ROW($B$9)-1,D108-E108," ")</f>
        <v>1837.2242097676708</v>
      </c>
      <c r="G108" s="24">
        <f>IF(ROW(C108)&lt;LoanPeriod*12+ROW($B$9)-1,C108-F108," ")</f>
        <v>82806.2305364849</v>
      </c>
    </row>
    <row r="109" s="0" ht="18" customHeight="0" customFormat="0">
      <c r="A109" t="s">
        <v>2</v>
      </c>
      <c r="B109" s="23">
        <f>IF(ROW(B109)&lt;LoanPeriod*12+ROW($B$9)-1,EDATE(B108,1)," ")</f>
        <v>49096</v>
      </c>
      <c r="C109" s="24">
        <f>IF(ROW(B109)&lt;LoanPeriod*12+ROW($B$9)-1,G108," ")</f>
        <v>82806.2305364849</v>
      </c>
      <c r="D109" s="24">
        <f>IF(ROW(C109)&lt;LoanPeriod*12+ROW($B$9)-1,MonthlyPayment," ")</f>
        <v>2017.0915511034575</v>
      </c>
      <c r="E109" s="24">
        <f>IF(ROW(C109)&lt;LoanPeriod*12+ROW($B$9)-1,C109*InterestRate/100/12," ")</f>
        <v>175.96323989003042</v>
      </c>
      <c r="F109" s="24">
        <f>IF(ROW(B109)&lt;LoanPeriod*12+ROW($B$9)-1,D109-E109," ")</f>
        <v>1841.128311213427</v>
      </c>
      <c r="G109" s="24">
        <f>IF(ROW(C109)&lt;LoanPeriod*12+ROW($B$9)-1,C109-F109," ")</f>
        <v>80965.10222527148</v>
      </c>
    </row>
    <row r="110" s="0" ht="18" customHeight="0" customFormat="0">
      <c r="A110" t="s">
        <v>2</v>
      </c>
      <c r="B110" s="23">
        <f>IF(ROW(B110)&lt;LoanPeriod*12+ROW($B$9)-1,EDATE(B109,1)," ")</f>
        <v>49126</v>
      </c>
      <c r="C110" s="24">
        <f>IF(ROW(B110)&lt;LoanPeriod*12+ROW($B$9)-1,G109," ")</f>
        <v>80965.10222527148</v>
      </c>
      <c r="D110" s="24">
        <f>IF(ROW(C110)&lt;LoanPeriod*12+ROW($B$9)-1,MonthlyPayment," ")</f>
        <v>2017.0915511034575</v>
      </c>
      <c r="E110" s="24">
        <f>IF(ROW(C110)&lt;LoanPeriod*12+ROW($B$9)-1,C110*InterestRate/100/12," ")</f>
        <v>172.05084222870187</v>
      </c>
      <c r="F110" s="24">
        <f>IF(ROW(B110)&lt;LoanPeriod*12+ROW($B$9)-1,D110-E110," ")</f>
        <v>1845.0407088747556</v>
      </c>
      <c r="G110" s="24">
        <f>IF(ROW(C110)&lt;LoanPeriod*12+ROW($B$9)-1,C110-F110," ")</f>
        <v>79120.06151639672</v>
      </c>
    </row>
    <row r="111" s="0" ht="18" customHeight="0" customFormat="0">
      <c r="A111" t="s">
        <v>2</v>
      </c>
      <c r="B111" s="23">
        <f>IF(ROW(B111)&lt;LoanPeriod*12+ROW($B$9)-1,EDATE(B110,1)," ")</f>
        <v>49157</v>
      </c>
      <c r="C111" s="24">
        <f>IF(ROW(B111)&lt;LoanPeriod*12+ROW($B$9)-1,G110," ")</f>
        <v>79120.06151639672</v>
      </c>
      <c r="D111" s="24">
        <f>IF(ROW(C111)&lt;LoanPeriod*12+ROW($B$9)-1,MonthlyPayment," ")</f>
        <v>2017.0915511034575</v>
      </c>
      <c r="E111" s="24">
        <f>IF(ROW(C111)&lt;LoanPeriod*12+ROW($B$9)-1,C111*InterestRate/100/12," ")</f>
        <v>168.130130722343</v>
      </c>
      <c r="F111" s="24">
        <f>IF(ROW(B111)&lt;LoanPeriod*12+ROW($B$9)-1,D111-E111," ")</f>
        <v>1848.9614203811145</v>
      </c>
      <c r="G111" s="24">
        <f>IF(ROW(C111)&lt;LoanPeriod*12+ROW($B$9)-1,C111-F111," ")</f>
        <v>77271.1000960156</v>
      </c>
    </row>
    <row r="112" s="0" ht="18" customHeight="0" customFormat="0">
      <c r="A112" t="s">
        <v>2</v>
      </c>
      <c r="B112" s="23">
        <f>IF(ROW(B112)&lt;LoanPeriod*12+ROW($B$9)-1,EDATE(B111,1)," ")</f>
        <v>49188</v>
      </c>
      <c r="C112" s="24">
        <f>IF(ROW(B112)&lt;LoanPeriod*12+ROW($B$9)-1,G111," ")</f>
        <v>77271.1000960156</v>
      </c>
      <c r="D112" s="24">
        <f>IF(ROW(C112)&lt;LoanPeriod*12+ROW($B$9)-1,MonthlyPayment," ")</f>
        <v>2017.0915511034575</v>
      </c>
      <c r="E112" s="24">
        <f>IF(ROW(C112)&lt;LoanPeriod*12+ROW($B$9)-1,C112*InterestRate/100/12," ")</f>
        <v>164.20108770403314</v>
      </c>
      <c r="F112" s="24">
        <f>IF(ROW(B112)&lt;LoanPeriod*12+ROW($B$9)-1,D112-E112," ")</f>
        <v>1852.8904633994243</v>
      </c>
      <c r="G112" s="24">
        <f>IF(ROW(C112)&lt;LoanPeriod*12+ROW($B$9)-1,C112-F112," ")</f>
        <v>75418.20963261617</v>
      </c>
    </row>
    <row r="113" s="0" ht="18" customHeight="0" customFormat="0">
      <c r="A113" t="s">
        <v>2</v>
      </c>
      <c r="B113" s="23">
        <f>IF(ROW(B113)&lt;LoanPeriod*12+ROW($B$9)-1,EDATE(B112,1)," ")</f>
        <v>49218</v>
      </c>
      <c r="C113" s="24">
        <f>IF(ROW(B113)&lt;LoanPeriod*12+ROW($B$9)-1,G112," ")</f>
        <v>75418.20963261617</v>
      </c>
      <c r="D113" s="24">
        <f>IF(ROW(C113)&lt;LoanPeriod*12+ROW($B$9)-1,MonthlyPayment," ")</f>
        <v>2017.0915511034575</v>
      </c>
      <c r="E113" s="24">
        <f>IF(ROW(C113)&lt;LoanPeriod*12+ROW($B$9)-1,C113*InterestRate/100/12," ")</f>
        <v>160.26369546930934</v>
      </c>
      <c r="F113" s="24">
        <f>IF(ROW(B113)&lt;LoanPeriod*12+ROW($B$9)-1,D113-E113," ")</f>
        <v>1856.8278556341481</v>
      </c>
      <c r="G113" s="24">
        <f>IF(ROW(C113)&lt;LoanPeriod*12+ROW($B$9)-1,C113-F113," ")</f>
        <v>73561.38177698202</v>
      </c>
    </row>
    <row r="114" s="0" ht="18" customHeight="0" customFormat="0">
      <c r="A114" t="s">
        <v>2</v>
      </c>
      <c r="B114" s="23">
        <f>IF(ROW(B114)&lt;LoanPeriod*12+ROW($B$9)-1,EDATE(B113,1)," ")</f>
        <v>49249</v>
      </c>
      <c r="C114" s="24">
        <f>IF(ROW(B114)&lt;LoanPeriod*12+ROW($B$9)-1,G113," ")</f>
        <v>73561.38177698202</v>
      </c>
      <c r="D114" s="24">
        <f>IF(ROW(C114)&lt;LoanPeriod*12+ROW($B$9)-1,MonthlyPayment," ")</f>
        <v>2017.0915511034575</v>
      </c>
      <c r="E114" s="24">
        <f>IF(ROW(C114)&lt;LoanPeriod*12+ROW($B$9)-1,C114*InterestRate/100/12," ")</f>
        <v>156.31793627608678</v>
      </c>
      <c r="F114" s="24">
        <f>IF(ROW(B114)&lt;LoanPeriod*12+ROW($B$9)-1,D114-E114," ")</f>
        <v>1860.7736148273707</v>
      </c>
      <c r="G114" s="24">
        <f>IF(ROW(C114)&lt;LoanPeriod*12+ROW($B$9)-1,C114-F114," ")</f>
        <v>71700.60816215465</v>
      </c>
    </row>
    <row r="115" s="0" ht="18" customHeight="0" customFormat="0">
      <c r="A115" t="s">
        <v>2</v>
      </c>
      <c r="B115" s="23">
        <f>IF(ROW(B115)&lt;LoanPeriod*12+ROW($B$9)-1,EDATE(B114,1)," ")</f>
        <v>49279</v>
      </c>
      <c r="C115" s="24">
        <f>IF(ROW(B115)&lt;LoanPeriod*12+ROW($B$9)-1,G114," ")</f>
        <v>71700.60816215465</v>
      </c>
      <c r="D115" s="24">
        <f>IF(ROW(C115)&lt;LoanPeriod*12+ROW($B$9)-1,MonthlyPayment," ")</f>
        <v>2017.0915511034575</v>
      </c>
      <c r="E115" s="24">
        <f>IF(ROW(C115)&lt;LoanPeriod*12+ROW($B$9)-1,C115*InterestRate/100/12," ")</f>
        <v>152.36379234457863</v>
      </c>
      <c r="F115" s="24">
        <f>IF(ROW(B115)&lt;LoanPeriod*12+ROW($B$9)-1,D115-E115," ")</f>
        <v>1864.727758758879</v>
      </c>
      <c r="G115" s="24">
        <f>IF(ROW(C115)&lt;LoanPeriod*12+ROW($B$9)-1,C115-F115," ")</f>
        <v>69835.88040339577</v>
      </c>
    </row>
    <row r="116" s="0" ht="18" customHeight="0" customFormat="0">
      <c r="A116" t="s">
        <v>2</v>
      </c>
      <c r="B116" s="23">
        <f>IF(ROW(B116)&lt;LoanPeriod*12+ROW($B$9)-1,EDATE(B115,1)," ")</f>
        <v>49310</v>
      </c>
      <c r="C116" s="24">
        <f>IF(ROW(B116)&lt;LoanPeriod*12+ROW($B$9)-1,G115," ")</f>
        <v>69835.88040339577</v>
      </c>
      <c r="D116" s="24">
        <f>IF(ROW(C116)&lt;LoanPeriod*12+ROW($B$9)-1,MonthlyPayment," ")</f>
        <v>2017.0915511034575</v>
      </c>
      <c r="E116" s="24">
        <f>IF(ROW(C116)&lt;LoanPeriod*12+ROW($B$9)-1,C116*InterestRate/100/12," ")</f>
        <v>148.401245857216</v>
      </c>
      <c r="F116" s="24">
        <f>IF(ROW(B116)&lt;LoanPeriod*12+ROW($B$9)-1,D116-E116," ")</f>
        <v>1868.6903052462415</v>
      </c>
      <c r="G116" s="24">
        <f>IF(ROW(C116)&lt;LoanPeriod*12+ROW($B$9)-1,C116-F116," ")</f>
        <v>67967.19009814953</v>
      </c>
    </row>
    <row r="117" s="0" ht="18" customHeight="0" customFormat="0">
      <c r="A117" t="s">
        <v>2</v>
      </c>
      <c r="B117" s="23">
        <f>IF(ROW(B117)&lt;LoanPeriod*12+ROW($B$9)-1,EDATE(B116,1)," ")</f>
        <v>49341</v>
      </c>
      <c r="C117" s="24">
        <f>IF(ROW(B117)&lt;LoanPeriod*12+ROW($B$9)-1,G116," ")</f>
        <v>67967.19009814953</v>
      </c>
      <c r="D117" s="24">
        <f>IF(ROW(C117)&lt;LoanPeriod*12+ROW($B$9)-1,MonthlyPayment," ")</f>
        <v>2017.0915511034575</v>
      </c>
      <c r="E117" s="24">
        <f>IF(ROW(C117)&lt;LoanPeriod*12+ROW($B$9)-1,C117*InterestRate/100/12," ")</f>
        <v>144.43027895856773</v>
      </c>
      <c r="F117" s="24">
        <f>IF(ROW(B117)&lt;LoanPeriod*12+ROW($B$9)-1,D117-E117," ")</f>
        <v>1872.6612721448898</v>
      </c>
      <c r="G117" s="24">
        <f>IF(ROW(C117)&lt;LoanPeriod*12+ROW($B$9)-1,C117-F117," ")</f>
        <v>66094.52882600464</v>
      </c>
    </row>
    <row r="118" s="0" ht="18" customHeight="0" customFormat="0">
      <c r="A118" t="s">
        <v>2</v>
      </c>
      <c r="B118" s="23">
        <f>IF(ROW(B118)&lt;LoanPeriod*12+ROW($B$9)-1,EDATE(B117,1)," ")</f>
        <v>49369</v>
      </c>
      <c r="C118" s="24">
        <f>IF(ROW(B118)&lt;LoanPeriod*12+ROW($B$9)-1,G117," ")</f>
        <v>66094.52882600464</v>
      </c>
      <c r="D118" s="24">
        <f>IF(ROW(C118)&lt;LoanPeriod*12+ROW($B$9)-1,MonthlyPayment," ")</f>
        <v>2017.0915511034575</v>
      </c>
      <c r="E118" s="24">
        <f>IF(ROW(C118)&lt;LoanPeriod*12+ROW($B$9)-1,C118*InterestRate/100/12," ")</f>
        <v>140.45087375525983</v>
      </c>
      <c r="F118" s="24">
        <f>IF(ROW(B118)&lt;LoanPeriod*12+ROW($B$9)-1,D118-E118," ")</f>
        <v>1876.6406773481976</v>
      </c>
      <c r="G118" s="24">
        <f>IF(ROW(C118)&lt;LoanPeriod*12+ROW($B$9)-1,C118-F118," ")</f>
        <v>64217.888148656435</v>
      </c>
    </row>
    <row r="119" s="0" ht="18" customHeight="0" customFormat="0">
      <c r="A119" t="s">
        <v>2</v>
      </c>
      <c r="B119" s="23">
        <f>IF(ROW(B119)&lt;LoanPeriod*12+ROW($B$9)-1,EDATE(B118,1)," ")</f>
        <v>49400</v>
      </c>
      <c r="C119" s="24">
        <f>IF(ROW(B119)&lt;LoanPeriod*12+ROW($B$9)-1,G118," ")</f>
        <v>64217.888148656435</v>
      </c>
      <c r="D119" s="24">
        <f>IF(ROW(C119)&lt;LoanPeriod*12+ROW($B$9)-1,MonthlyPayment," ")</f>
        <v>2017.0915511034575</v>
      </c>
      <c r="E119" s="24">
        <f>IF(ROW(C119)&lt;LoanPeriod*12+ROW($B$9)-1,C119*InterestRate/100/12," ")</f>
        <v>136.4630123158949</v>
      </c>
      <c r="F119" s="24">
        <f>IF(ROW(B119)&lt;LoanPeriod*12+ROW($B$9)-1,D119-E119," ")</f>
        <v>1880.6285387875625</v>
      </c>
      <c r="G119" s="24">
        <f>IF(ROW(C119)&lt;LoanPeriod*12+ROW($B$9)-1,C119-F119," ")</f>
        <v>62337.259609868874</v>
      </c>
    </row>
    <row r="120" s="0" ht="18" customHeight="0" customFormat="0">
      <c r="A120" t="s">
        <v>2</v>
      </c>
      <c r="B120" s="23">
        <f>IF(ROW(B120)&lt;LoanPeriod*12+ROW($B$9)-1,EDATE(B119,1)," ")</f>
        <v>49430</v>
      </c>
      <c r="C120" s="24">
        <f>IF(ROW(B120)&lt;LoanPeriod*12+ROW($B$9)-1,G119," ")</f>
        <v>62337.259609868874</v>
      </c>
      <c r="D120" s="24">
        <f>IF(ROW(C120)&lt;LoanPeriod*12+ROW($B$9)-1,MonthlyPayment," ")</f>
        <v>2017.0915511034575</v>
      </c>
      <c r="E120" s="24">
        <f>IF(ROW(C120)&lt;LoanPeriod*12+ROW($B$9)-1,C120*InterestRate/100/12," ")</f>
        <v>132.46667667097134</v>
      </c>
      <c r="F120" s="24">
        <f>IF(ROW(B120)&lt;LoanPeriod*12+ROW($B$9)-1,D120-E120," ")</f>
        <v>1884.6248744324862</v>
      </c>
      <c r="G120" s="24">
        <f>IF(ROW(C120)&lt;LoanPeriod*12+ROW($B$9)-1,C120-F120," ")</f>
        <v>60452.63473543639</v>
      </c>
    </row>
    <row r="121" s="0" ht="18" customHeight="0" customFormat="0">
      <c r="A121" t="s">
        <v>2</v>
      </c>
      <c r="B121" s="23">
        <f>IF(ROW(B121)&lt;LoanPeriod*12+ROW($B$9)-1,EDATE(B120,1)," ")</f>
        <v>49461</v>
      </c>
      <c r="C121" s="24">
        <f>IF(ROW(B121)&lt;LoanPeriod*12+ROW($B$9)-1,G120," ")</f>
        <v>60452.63473543639</v>
      </c>
      <c r="D121" s="24">
        <f>IF(ROW(C121)&lt;LoanPeriod*12+ROW($B$9)-1,MonthlyPayment," ")</f>
        <v>2017.0915511034575</v>
      </c>
      <c r="E121" s="24">
        <f>IF(ROW(C121)&lt;LoanPeriod*12+ROW($B$9)-1,C121*InterestRate/100/12," ")</f>
        <v>128.46184881280232</v>
      </c>
      <c r="F121" s="24">
        <f>IF(ROW(B121)&lt;LoanPeriod*12+ROW($B$9)-1,D121-E121," ")</f>
        <v>1888.6297022906551</v>
      </c>
      <c r="G121" s="24">
        <f>IF(ROW(C121)&lt;LoanPeriod*12+ROW($B$9)-1,C121-F121," ")</f>
        <v>58564.00503314573</v>
      </c>
    </row>
    <row r="122" s="0" ht="18" customHeight="0" customFormat="0">
      <c r="A122" t="s">
        <v>2</v>
      </c>
      <c r="B122" s="23">
        <f>IF(ROW(B122)&lt;LoanPeriod*12+ROW($B$9)-1,EDATE(B121,1)," ")</f>
        <v>49491</v>
      </c>
      <c r="C122" s="24">
        <f>IF(ROW(B122)&lt;LoanPeriod*12+ROW($B$9)-1,G121," ")</f>
        <v>58564.00503314573</v>
      </c>
      <c r="D122" s="24">
        <f>IF(ROW(C122)&lt;LoanPeriod*12+ROW($B$9)-1,MonthlyPayment," ")</f>
        <v>2017.0915511034575</v>
      </c>
      <c r="E122" s="24">
        <f>IF(ROW(C122)&lt;LoanPeriod*12+ROW($B$9)-1,C122*InterestRate/100/12," ")</f>
        <v>124.44851069543466</v>
      </c>
      <c r="F122" s="24">
        <f>IF(ROW(B122)&lt;LoanPeriod*12+ROW($B$9)-1,D122-E122," ")</f>
        <v>1892.643040408023</v>
      </c>
      <c r="G122" s="24">
        <f>IF(ROW(C122)&lt;LoanPeriod*12+ROW($B$9)-1,C122-F122," ")</f>
        <v>56671.36199273771</v>
      </c>
    </row>
    <row r="123" s="0" ht="18" customHeight="0" customFormat="0">
      <c r="A123" t="s">
        <v>2</v>
      </c>
      <c r="B123" s="23">
        <f>IF(ROW(B123)&lt;LoanPeriod*12+ROW($B$9)-1,EDATE(B122,1)," ")</f>
        <v>49522</v>
      </c>
      <c r="C123" s="24">
        <f>IF(ROW(B123)&lt;LoanPeriod*12+ROW($B$9)-1,G122," ")</f>
        <v>56671.36199273771</v>
      </c>
      <c r="D123" s="24">
        <f>IF(ROW(C123)&lt;LoanPeriod*12+ROW($B$9)-1,MonthlyPayment," ")</f>
        <v>2017.0915511034575</v>
      </c>
      <c r="E123" s="24">
        <f>IF(ROW(C123)&lt;LoanPeriod*12+ROW($B$9)-1,C123*InterestRate/100/12," ")</f>
        <v>120.42664423456762</v>
      </c>
      <c r="F123" s="24">
        <f>IF(ROW(B123)&lt;LoanPeriod*12+ROW($B$9)-1,D123-E123," ")</f>
        <v>1896.6649068688898</v>
      </c>
      <c r="G123" s="24">
        <f>IF(ROW(C123)&lt;LoanPeriod*12+ROW($B$9)-1,C123-F123," ")</f>
        <v>54774.697085868815</v>
      </c>
    </row>
    <row r="124" s="0" ht="18" customHeight="0" customFormat="0">
      <c r="A124" t="s">
        <v>2</v>
      </c>
      <c r="B124" s="23">
        <f>IF(ROW(B124)&lt;LoanPeriod*12+ROW($B$9)-1,EDATE(B123,1)," ")</f>
        <v>49553</v>
      </c>
      <c r="C124" s="24">
        <f>IF(ROW(B124)&lt;LoanPeriod*12+ROW($B$9)-1,G123," ")</f>
        <v>54774.697085868815</v>
      </c>
      <c r="D124" s="24">
        <f>IF(ROW(C124)&lt;LoanPeriod*12+ROW($B$9)-1,MonthlyPayment," ")</f>
        <v>2017.0915511034575</v>
      </c>
      <c r="E124" s="24">
        <f>IF(ROW(C124)&lt;LoanPeriod*12+ROW($B$9)-1,C124*InterestRate/100/12," ")</f>
        <v>116.39623130747123</v>
      </c>
      <c r="F124" s="24">
        <f>IF(ROW(B124)&lt;LoanPeriod*12+ROW($B$9)-1,D124-E124," ")</f>
        <v>1900.6953197959863</v>
      </c>
      <c r="G124" s="24">
        <f>IF(ROW(C124)&lt;LoanPeriod*12+ROW($B$9)-1,C124-F124," ")</f>
        <v>52874.001766072826</v>
      </c>
    </row>
    <row r="125" s="0" ht="18" customHeight="0" customFormat="0">
      <c r="A125" t="s">
        <v>2</v>
      </c>
      <c r="B125" s="23">
        <f>IF(ROW(B125)&lt;LoanPeriod*12+ROW($B$9)-1,EDATE(B124,1)," ")</f>
        <v>49583</v>
      </c>
      <c r="C125" s="24">
        <f>IF(ROW(B125)&lt;LoanPeriod*12+ROW($B$9)-1,G124," ")</f>
        <v>52874.001766072826</v>
      </c>
      <c r="D125" s="24">
        <f>IF(ROW(C125)&lt;LoanPeriod*12+ROW($B$9)-1,MonthlyPayment," ")</f>
        <v>2017.0915511034575</v>
      </c>
      <c r="E125" s="24">
        <f>IF(ROW(C125)&lt;LoanPeriod*12+ROW($B$9)-1,C125*InterestRate/100/12," ")</f>
        <v>112.35725375290475</v>
      </c>
      <c r="F125" s="24">
        <f>IF(ROW(B125)&lt;LoanPeriod*12+ROW($B$9)-1,D125-E125," ")</f>
        <v>1904.7342973505527</v>
      </c>
      <c r="G125" s="24">
        <f>IF(ROW(C125)&lt;LoanPeriod*12+ROW($B$9)-1,C125-F125," ")</f>
        <v>50969.267468722275</v>
      </c>
    </row>
    <row r="126" s="0" ht="18" customHeight="0" customFormat="0">
      <c r="A126" t="s">
        <v>2</v>
      </c>
      <c r="B126" s="23">
        <f>IF(ROW(B126)&lt;LoanPeriod*12+ROW($B$9)-1,EDATE(B125,1)," ")</f>
        <v>49614</v>
      </c>
      <c r="C126" s="24">
        <f>IF(ROW(B126)&lt;LoanPeriod*12+ROW($B$9)-1,G125," ")</f>
        <v>50969.267468722275</v>
      </c>
      <c r="D126" s="24">
        <f>IF(ROW(C126)&lt;LoanPeriod*12+ROW($B$9)-1,MonthlyPayment," ")</f>
        <v>2017.0915511034575</v>
      </c>
      <c r="E126" s="24">
        <f>IF(ROW(C126)&lt;LoanPeriod*12+ROW($B$9)-1,C126*InterestRate/100/12," ")</f>
        <v>108.30969337103483</v>
      </c>
      <c r="F126" s="24">
        <f>IF(ROW(B126)&lt;LoanPeriod*12+ROW($B$9)-1,D126-E126," ")</f>
        <v>1908.7818577324226</v>
      </c>
      <c r="G126" s="24">
        <f>IF(ROW(C126)&lt;LoanPeriod*12+ROW($B$9)-1,C126-F126," ")</f>
        <v>49060.485610989854</v>
      </c>
    </row>
    <row r="127" s="0" ht="18" customHeight="0" customFormat="0">
      <c r="A127" t="s">
        <v>2</v>
      </c>
      <c r="B127" s="23">
        <f>IF(ROW(B127)&lt;LoanPeriod*12+ROW($B$9)-1,EDATE(B126,1)," ")</f>
        <v>49644</v>
      </c>
      <c r="C127" s="24">
        <f>IF(ROW(B127)&lt;LoanPeriod*12+ROW($B$9)-1,G126," ")</f>
        <v>49060.485610989854</v>
      </c>
      <c r="D127" s="24">
        <f>IF(ROW(C127)&lt;LoanPeriod*12+ROW($B$9)-1,MonthlyPayment," ")</f>
        <v>2017.0915511034575</v>
      </c>
      <c r="E127" s="24">
        <f>IF(ROW(C127)&lt;LoanPeriod*12+ROW($B$9)-1,C127*InterestRate/100/12," ")</f>
        <v>104.25353192335342</v>
      </c>
      <c r="F127" s="24">
        <f>IF(ROW(B127)&lt;LoanPeriod*12+ROW($B$9)-1,D127-E127," ")</f>
        <v>1912.838019180104</v>
      </c>
      <c r="G127" s="24">
        <f>IF(ROW(C127)&lt;LoanPeriod*12+ROW($B$9)-1,C127-F127," ")</f>
        <v>47147.64759180975</v>
      </c>
    </row>
    <row r="128" s="0" ht="18" customHeight="0" customFormat="0">
      <c r="A128" t="s">
        <v>2</v>
      </c>
      <c r="B128" s="23">
        <f>IF(ROW(B128)&lt;LoanPeriod*12+ROW($B$9)-1,EDATE(B127,1)," ")</f>
        <v>49675</v>
      </c>
      <c r="C128" s="24">
        <f>IF(ROW(B128)&lt;LoanPeriod*12+ROW($B$9)-1,G127," ")</f>
        <v>47147.64759180975</v>
      </c>
      <c r="D128" s="24">
        <f>IF(ROW(C128)&lt;LoanPeriod*12+ROW($B$9)-1,MonthlyPayment," ")</f>
        <v>2017.0915511034575</v>
      </c>
      <c r="E128" s="24">
        <f>IF(ROW(C128)&lt;LoanPeriod*12+ROW($B$9)-1,C128*InterestRate/100/12," ")</f>
        <v>100.18875113259571</v>
      </c>
      <c r="F128" s="24">
        <f>IF(ROW(B128)&lt;LoanPeriod*12+ROW($B$9)-1,D128-E128," ")</f>
        <v>1916.902799970862</v>
      </c>
      <c r="G128" s="24">
        <f>IF(ROW(C128)&lt;LoanPeriod*12+ROW($B$9)-1,C128-F128," ")</f>
        <v>45230.744791838886</v>
      </c>
    </row>
    <row r="129" s="0" ht="18" customHeight="0" customFormat="0">
      <c r="A129" t="s">
        <v>2</v>
      </c>
      <c r="B129" s="23">
        <f>IF(ROW(B129)&lt;LoanPeriod*12+ROW($B$9)-1,EDATE(B128,1)," ")</f>
        <v>49706</v>
      </c>
      <c r="C129" s="24">
        <f>IF(ROW(B129)&lt;LoanPeriod*12+ROW($B$9)-1,G128," ")</f>
        <v>45230.744791838886</v>
      </c>
      <c r="D129" s="24">
        <f>IF(ROW(C129)&lt;LoanPeriod*12+ROW($B$9)-1,MonthlyPayment," ")</f>
        <v>2017.0915511034575</v>
      </c>
      <c r="E129" s="24">
        <f>IF(ROW(C129)&lt;LoanPeriod*12+ROW($B$9)-1,C129*InterestRate/100/12," ")</f>
        <v>96.11533268265761</v>
      </c>
      <c r="F129" s="24">
        <f>IF(ROW(B129)&lt;LoanPeriod*12+ROW($B$9)-1,D129-E129," ")</f>
        <v>1920.9762184207998</v>
      </c>
      <c r="G129" s="24">
        <f>IF(ROW(C129)&lt;LoanPeriod*12+ROW($B$9)-1,C129-F129," ")</f>
        <v>43309.768573418085</v>
      </c>
    </row>
    <row r="130" s="0" ht="18" customHeight="0" customFormat="0">
      <c r="A130" t="s">
        <v>2</v>
      </c>
      <c r="B130" s="23">
        <f>IF(ROW(B130)&lt;LoanPeriod*12+ROW($B$9)-1,EDATE(B129,1)," ")</f>
        <v>49735</v>
      </c>
      <c r="C130" s="24">
        <f>IF(ROW(B130)&lt;LoanPeriod*12+ROW($B$9)-1,G129," ")</f>
        <v>43309.768573418085</v>
      </c>
      <c r="D130" s="24">
        <f>IF(ROW(C130)&lt;LoanPeriod*12+ROW($B$9)-1,MonthlyPayment," ")</f>
        <v>2017.0915511034575</v>
      </c>
      <c r="E130" s="24">
        <f>IF(ROW(C130)&lt;LoanPeriod*12+ROW($B$9)-1,C130*InterestRate/100/12," ")</f>
        <v>92.03325821851342</v>
      </c>
      <c r="F130" s="24">
        <f>IF(ROW(B130)&lt;LoanPeriod*12+ROW($B$9)-1,D130-E130," ")</f>
        <v>1925.058292884944</v>
      </c>
      <c r="G130" s="24">
        <f>IF(ROW(C130)&lt;LoanPeriod*12+ROW($B$9)-1,C130-F130," ")</f>
        <v>41384.71028053314</v>
      </c>
    </row>
    <row r="131" s="0" ht="18" customHeight="0" customFormat="0">
      <c r="A131" t="s">
        <v>2</v>
      </c>
      <c r="B131" s="23">
        <f>IF(ROW(B131)&lt;LoanPeriod*12+ROW($B$9)-1,EDATE(B130,1)," ")</f>
        <v>49766</v>
      </c>
      <c r="C131" s="24">
        <f>IF(ROW(B131)&lt;LoanPeriod*12+ROW($B$9)-1,G130," ")</f>
        <v>41384.71028053314</v>
      </c>
      <c r="D131" s="24">
        <f>IF(ROW(C131)&lt;LoanPeriod*12+ROW($B$9)-1,MonthlyPayment," ")</f>
        <v>2017.0915511034575</v>
      </c>
      <c r="E131" s="24">
        <f>IF(ROW(C131)&lt;LoanPeriod*12+ROW($B$9)-1,C131*InterestRate/100/12," ")</f>
        <v>87.94250934613291</v>
      </c>
      <c r="F131" s="24">
        <f>IF(ROW(B131)&lt;LoanPeriod*12+ROW($B$9)-1,D131-E131," ")</f>
        <v>1929.1490417573245</v>
      </c>
      <c r="G131" s="24">
        <f>IF(ROW(C131)&lt;LoanPeriod*12+ROW($B$9)-1,C131-F131," ")</f>
        <v>39455.561238775816</v>
      </c>
    </row>
    <row r="132" s="0" ht="18" customHeight="0" customFormat="0">
      <c r="A132" t="s">
        <v>2</v>
      </c>
      <c r="B132" s="23">
        <f>IF(ROW(B132)&lt;LoanPeriod*12+ROW($B$9)-1,EDATE(B131,1)," ")</f>
        <v>49796</v>
      </c>
      <c r="C132" s="24">
        <f>IF(ROW(B132)&lt;LoanPeriod*12+ROW($B$9)-1,G131," ")</f>
        <v>39455.561238775816</v>
      </c>
      <c r="D132" s="24">
        <f>IF(ROW(C132)&lt;LoanPeriod*12+ROW($B$9)-1,MonthlyPayment," ")</f>
        <v>2017.0915511034575</v>
      </c>
      <c r="E132" s="24">
        <f>IF(ROW(C132)&lt;LoanPeriod*12+ROW($B$9)-1,C132*InterestRate/100/12," ")</f>
        <v>83.8430676323986</v>
      </c>
      <c r="F132" s="24">
        <f>IF(ROW(B132)&lt;LoanPeriod*12+ROW($B$9)-1,D132-E132," ")</f>
        <v>1933.248483471059</v>
      </c>
      <c r="G132" s="24">
        <f>IF(ROW(C132)&lt;LoanPeriod*12+ROW($B$9)-1,C132-F132," ")</f>
        <v>37522.31275530476</v>
      </c>
    </row>
    <row r="133" s="0" ht="18" customHeight="0" customFormat="0">
      <c r="A133" t="s">
        <v>2</v>
      </c>
      <c r="B133" s="23">
        <f>IF(ROW(B133)&lt;LoanPeriod*12+ROW($B$9)-1,EDATE(B132,1)," ")</f>
        <v>49827</v>
      </c>
      <c r="C133" s="24">
        <f>IF(ROW(B133)&lt;LoanPeriod*12+ROW($B$9)-1,G132," ")</f>
        <v>37522.31275530476</v>
      </c>
      <c r="D133" s="24">
        <f>IF(ROW(C133)&lt;LoanPeriod*12+ROW($B$9)-1,MonthlyPayment," ")</f>
        <v>2017.0915511034575</v>
      </c>
      <c r="E133" s="24">
        <f>IF(ROW(C133)&lt;LoanPeriod*12+ROW($B$9)-1,C133*InterestRate/100/12," ")</f>
        <v>79.73491460502261</v>
      </c>
      <c r="F133" s="24">
        <f>IF(ROW(B133)&lt;LoanPeriod*12+ROW($B$9)-1,D133-E133," ")</f>
        <v>1937.356636498435</v>
      </c>
      <c r="G133" s="24">
        <f>IF(ROW(C133)&lt;LoanPeriod*12+ROW($B$9)-1,C133-F133," ")</f>
        <v>35584.95611880632</v>
      </c>
    </row>
    <row r="134" s="0" ht="18" customHeight="0" customFormat="0">
      <c r="A134" t="s">
        <v>2</v>
      </c>
      <c r="B134" s="23">
        <f>IF(ROW(B134)&lt;LoanPeriod*12+ROW($B$9)-1,EDATE(B133,1)," ")</f>
        <v>49857</v>
      </c>
      <c r="C134" s="24">
        <f>IF(ROW(B134)&lt;LoanPeriod*12+ROW($B$9)-1,G133," ")</f>
        <v>35584.95611880632</v>
      </c>
      <c r="D134" s="24">
        <f>IF(ROW(C134)&lt;LoanPeriod*12+ROW($B$9)-1,MonthlyPayment," ")</f>
        <v>2017.0915511034575</v>
      </c>
      <c r="E134" s="24">
        <f>IF(ROW(C134)&lt;LoanPeriod*12+ROW($B$9)-1,C134*InterestRate/100/12," ")</f>
        <v>75.61803175246344</v>
      </c>
      <c r="F134" s="24">
        <f>IF(ROW(B134)&lt;LoanPeriod*12+ROW($B$9)-1,D134-E134," ")</f>
        <v>1941.4735193509941</v>
      </c>
      <c r="G134" s="24">
        <f>IF(ROW(C134)&lt;LoanPeriod*12+ROW($B$9)-1,C134-F134," ")</f>
        <v>33643.48259945533</v>
      </c>
    </row>
    <row r="135" s="0" ht="18" customHeight="0" customFormat="0">
      <c r="A135" t="s">
        <v>2</v>
      </c>
      <c r="B135" s="23">
        <f>IF(ROW(B135)&lt;LoanPeriod*12+ROW($B$9)-1,EDATE(B134,1)," ")</f>
        <v>49888</v>
      </c>
      <c r="C135" s="24">
        <f>IF(ROW(B135)&lt;LoanPeriod*12+ROW($B$9)-1,G134," ")</f>
        <v>33643.48259945533</v>
      </c>
      <c r="D135" s="24">
        <f>IF(ROW(C135)&lt;LoanPeriod*12+ROW($B$9)-1,MonthlyPayment," ")</f>
        <v>2017.0915511034575</v>
      </c>
      <c r="E135" s="24">
        <f>IF(ROW(C135)&lt;LoanPeriod*12+ROW($B$9)-1,C135*InterestRate/100/12," ")</f>
        <v>71.49240052384258</v>
      </c>
      <c r="F135" s="24">
        <f>IF(ROW(B135)&lt;LoanPeriod*12+ROW($B$9)-1,D135-E135," ")</f>
        <v>1945.5991505796148</v>
      </c>
      <c r="G135" s="24">
        <f>IF(ROW(C135)&lt;LoanPeriod*12+ROW($B$9)-1,C135-F135," ")</f>
        <v>31697.883448875717</v>
      </c>
    </row>
    <row r="136" s="0" ht="18" customHeight="0" customFormat="0">
      <c r="A136" t="s">
        <v>2</v>
      </c>
      <c r="B136" s="23">
        <f>IF(ROW(B136)&lt;LoanPeriod*12+ROW($B$9)-1,EDATE(B135,1)," ")</f>
        <v>49919</v>
      </c>
      <c r="C136" s="24">
        <f>IF(ROW(B136)&lt;LoanPeriod*12+ROW($B$9)-1,G135," ")</f>
        <v>31697.883448875717</v>
      </c>
      <c r="D136" s="24">
        <f>IF(ROW(C136)&lt;LoanPeriod*12+ROW($B$9)-1,MonthlyPayment," ")</f>
        <v>2017.0915511034575</v>
      </c>
      <c r="E136" s="24">
        <f>IF(ROW(C136)&lt;LoanPeriod*12+ROW($B$9)-1,C136*InterestRate/100/12," ")</f>
        <v>67.35800232886089</v>
      </c>
      <c r="F136" s="24">
        <f>IF(ROW(B136)&lt;LoanPeriod*12+ROW($B$9)-1,D136-E136," ")</f>
        <v>1949.7335487745966</v>
      </c>
      <c r="G136" s="24">
        <f>IF(ROW(C136)&lt;LoanPeriod*12+ROW($B$9)-1,C136-F136," ")</f>
        <v>29748.14990010112</v>
      </c>
    </row>
    <row r="137" s="0" ht="18" customHeight="0" customFormat="0">
      <c r="A137" t="s">
        <v>2</v>
      </c>
      <c r="B137" s="23">
        <f>IF(ROW(B137)&lt;LoanPeriod*12+ROW($B$9)-1,EDATE(B136,1)," ")</f>
        <v>49949</v>
      </c>
      <c r="C137" s="24">
        <f>IF(ROW(B137)&lt;LoanPeriod*12+ROW($B$9)-1,G136," ")</f>
        <v>29748.14990010112</v>
      </c>
      <c r="D137" s="24">
        <f>IF(ROW(C137)&lt;LoanPeriod*12+ROW($B$9)-1,MonthlyPayment," ")</f>
        <v>2017.0915511034575</v>
      </c>
      <c r="E137" s="24">
        <f>IF(ROW(C137)&lt;LoanPeriod*12+ROW($B$9)-1,C137*InterestRate/100/12," ")</f>
        <v>63.214818537714876</v>
      </c>
      <c r="F137" s="24">
        <f>IF(ROW(B137)&lt;LoanPeriod*12+ROW($B$9)-1,D137-E137," ")</f>
        <v>1953.8767325657427</v>
      </c>
      <c r="G137" s="24">
        <f>IF(ROW(C137)&lt;LoanPeriod*12+ROW($B$9)-1,C137-F137," ")</f>
        <v>27794.27316753538</v>
      </c>
    </row>
    <row r="138" s="0" ht="18" customHeight="0" customFormat="0">
      <c r="A138" t="s">
        <v>2</v>
      </c>
      <c r="B138" s="23">
        <f>IF(ROW(B138)&lt;LoanPeriod*12+ROW($B$9)-1,EDATE(B137,1)," ")</f>
        <v>49980</v>
      </c>
      <c r="C138" s="24">
        <f>IF(ROW(B138)&lt;LoanPeriod*12+ROW($B$9)-1,G137," ")</f>
        <v>27794.27316753538</v>
      </c>
      <c r="D138" s="24">
        <f>IF(ROW(C138)&lt;LoanPeriod*12+ROW($B$9)-1,MonthlyPayment," ")</f>
        <v>2017.0915511034575</v>
      </c>
      <c r="E138" s="24">
        <f>IF(ROW(C138)&lt;LoanPeriod*12+ROW($B$9)-1,C138*InterestRate/100/12," ")</f>
        <v>59.062830481012675</v>
      </c>
      <c r="F138" s="24">
        <f>IF(ROW(B138)&lt;LoanPeriod*12+ROW($B$9)-1,D138-E138," ")</f>
        <v>1958.0287206224448</v>
      </c>
      <c r="G138" s="24">
        <f>IF(ROW(C138)&lt;LoanPeriod*12+ROW($B$9)-1,C138-F138," ")</f>
        <v>25836.244446912933</v>
      </c>
    </row>
    <row r="139" s="0" ht="18" customHeight="0" customFormat="0">
      <c r="A139" t="s">
        <v>2</v>
      </c>
      <c r="B139" s="23">
        <f>IF(ROW(B139)&lt;LoanPeriod*12+ROW($B$9)-1,EDATE(B138,1)," ")</f>
        <v>50010</v>
      </c>
      <c r="C139" s="24">
        <f>IF(ROW(B139)&lt;LoanPeriod*12+ROW($B$9)-1,G138," ")</f>
        <v>25836.244446912933</v>
      </c>
      <c r="D139" s="24">
        <f>IF(ROW(C139)&lt;LoanPeriod*12+ROW($B$9)-1,MonthlyPayment," ")</f>
        <v>2017.0915511034575</v>
      </c>
      <c r="E139" s="24">
        <f>IF(ROW(C139)&lt;LoanPeriod*12+ROW($B$9)-1,C139*InterestRate/100/12," ")</f>
        <v>54.90201944968998</v>
      </c>
      <c r="F139" s="24">
        <f>IF(ROW(B139)&lt;LoanPeriod*12+ROW($B$9)-1,D139-E139," ")</f>
        <v>1962.1895316537675</v>
      </c>
      <c r="G139" s="24">
        <f>IF(ROW(C139)&lt;LoanPeriod*12+ROW($B$9)-1,C139-F139," ")</f>
        <v>23874.054915259167</v>
      </c>
    </row>
    <row r="140" s="0" ht="18" customHeight="0" customFormat="0">
      <c r="A140" t="s">
        <v>2</v>
      </c>
      <c r="B140" s="23">
        <f>IF(ROW(B140)&lt;LoanPeriod*12+ROW($B$9)-1,EDATE(B139,1)," ")</f>
        <v>50041</v>
      </c>
      <c r="C140" s="24">
        <f>IF(ROW(B140)&lt;LoanPeriod*12+ROW($B$9)-1,G139," ")</f>
        <v>23874.054915259167</v>
      </c>
      <c r="D140" s="24">
        <f>IF(ROW(C140)&lt;LoanPeriod*12+ROW($B$9)-1,MonthlyPayment," ")</f>
        <v>2017.0915511034575</v>
      </c>
      <c r="E140" s="24">
        <f>IF(ROW(C140)&lt;LoanPeriod*12+ROW($B$9)-1,C140*InterestRate/100/12," ")</f>
        <v>50.73236669492572</v>
      </c>
      <c r="F140" s="24">
        <f>IF(ROW(B140)&lt;LoanPeriod*12+ROW($B$9)-1,D140-E140," ")</f>
        <v>1966.3591844085317</v>
      </c>
      <c r="G140" s="24">
        <f>IF(ROW(C140)&lt;LoanPeriod*12+ROW($B$9)-1,C140-F140," ")</f>
        <v>21907.695730850635</v>
      </c>
    </row>
    <row r="141" s="0" ht="18" customHeight="0" customFormat="0">
      <c r="A141" t="s">
        <v>2</v>
      </c>
      <c r="B141" s="23">
        <f>IF(ROW(B141)&lt;LoanPeriod*12+ROW($B$9)-1,EDATE(B140,1)," ")</f>
        <v>50072</v>
      </c>
      <c r="C141" s="24">
        <f>IF(ROW(B141)&lt;LoanPeriod*12+ROW($B$9)-1,G140," ")</f>
        <v>21907.695730850635</v>
      </c>
      <c r="D141" s="24">
        <f>IF(ROW(C141)&lt;LoanPeriod*12+ROW($B$9)-1,MonthlyPayment," ")</f>
        <v>2017.0915511034575</v>
      </c>
      <c r="E141" s="24">
        <f>IF(ROW(C141)&lt;LoanPeriod*12+ROW($B$9)-1,C141*InterestRate/100/12," ")</f>
        <v>46.5538534280576</v>
      </c>
      <c r="F141" s="24">
        <f>IF(ROW(B141)&lt;LoanPeriod*12+ROW($B$9)-1,D141-E141," ")</f>
        <v>1970.5376976753998</v>
      </c>
      <c r="G141" s="24">
        <f>IF(ROW(C141)&lt;LoanPeriod*12+ROW($B$9)-1,C141-F141," ")</f>
        <v>19937.158033175234</v>
      </c>
    </row>
    <row r="142" s="0" ht="18" customHeight="0" customFormat="0">
      <c r="A142" t="s">
        <v>2</v>
      </c>
      <c r="B142" s="23">
        <f>IF(ROW(B142)&lt;LoanPeriod*12+ROW($B$9)-1,EDATE(B141,1)," ")</f>
        <v>50100</v>
      </c>
      <c r="C142" s="24">
        <f>IF(ROW(B142)&lt;LoanPeriod*12+ROW($B$9)-1,G141," ")</f>
        <v>19937.158033175234</v>
      </c>
      <c r="D142" s="24">
        <f>IF(ROW(C142)&lt;LoanPeriod*12+ROW($B$9)-1,MonthlyPayment," ")</f>
        <v>2017.0915511034575</v>
      </c>
      <c r="E142" s="24">
        <f>IF(ROW(C142)&lt;LoanPeriod*12+ROW($B$9)-1,C142*InterestRate/100/12," ")</f>
        <v>42.36646082049737</v>
      </c>
      <c r="F142" s="24">
        <f>IF(ROW(B142)&lt;LoanPeriod*12+ROW($B$9)-1,D142-E142," ")</f>
        <v>1974.72509028296</v>
      </c>
      <c r="G142" s="24">
        <f>IF(ROW(C142)&lt;LoanPeriod*12+ROW($B$9)-1,C142-F142," ")</f>
        <v>17962.432942892272</v>
      </c>
    </row>
    <row r="143" s="0" ht="18" customHeight="0" customFormat="0">
      <c r="A143" t="s">
        <v>2</v>
      </c>
      <c r="B143" s="23">
        <f>IF(ROW(B143)&lt;LoanPeriod*12+ROW($B$9)-1,EDATE(B142,1)," ")</f>
        <v>50131</v>
      </c>
      <c r="C143" s="24">
        <f>IF(ROW(B143)&lt;LoanPeriod*12+ROW($B$9)-1,G142," ")</f>
        <v>17962.432942892272</v>
      </c>
      <c r="D143" s="24">
        <f>IF(ROW(C143)&lt;LoanPeriod*12+ROW($B$9)-1,MonthlyPayment," ")</f>
        <v>2017.0915511034575</v>
      </c>
      <c r="E143" s="24">
        <f>IF(ROW(C143)&lt;LoanPeriod*12+ROW($B$9)-1,C143*InterestRate/100/12," ")</f>
        <v>38.17017000364608</v>
      </c>
      <c r="F143" s="24">
        <f>IF(ROW(B143)&lt;LoanPeriod*12+ROW($B$9)-1,D143-E143," ")</f>
        <v>1978.9213810998115</v>
      </c>
      <c r="G143" s="24">
        <f>IF(ROW(C143)&lt;LoanPeriod*12+ROW($B$9)-1,C143-F143," ")</f>
        <v>15983.51156179246</v>
      </c>
    </row>
    <row r="144" s="0" ht="18" customHeight="0" customFormat="0">
      <c r="A144" t="s">
        <v>2</v>
      </c>
      <c r="B144" s="23">
        <f>IF(ROW(B144)&lt;LoanPeriod*12+ROW($B$9)-1,EDATE(B143,1)," ")</f>
        <v>50161</v>
      </c>
      <c r="C144" s="24">
        <f>IF(ROW(B144)&lt;LoanPeriod*12+ROW($B$9)-1,G143," ")</f>
        <v>15983.51156179246</v>
      </c>
      <c r="D144" s="24">
        <f>IF(ROW(C144)&lt;LoanPeriod*12+ROW($B$9)-1,MonthlyPayment," ")</f>
        <v>2017.0915511034575</v>
      </c>
      <c r="E144" s="24">
        <f>IF(ROW(C144)&lt;LoanPeriod*12+ROW($B$9)-1,C144*InterestRate/100/12," ")</f>
        <v>33.96496206880898</v>
      </c>
      <c r="F144" s="24">
        <f>IF(ROW(B144)&lt;LoanPeriod*12+ROW($B$9)-1,D144-E144," ")</f>
        <v>1983.1265890346485</v>
      </c>
      <c r="G144" s="24">
        <f>IF(ROW(C144)&lt;LoanPeriod*12+ROW($B$9)-1,C144-F144," ")</f>
        <v>14000.384972757813</v>
      </c>
    </row>
    <row r="145" s="0" ht="18" customHeight="0" customFormat="0">
      <c r="A145" t="s">
        <v>2</v>
      </c>
      <c r="B145" s="23">
        <f>IF(ROW(B145)&lt;LoanPeriod*12+ROW($B$9)-1,EDATE(B144,1)," ")</f>
        <v>50192</v>
      </c>
      <c r="C145" s="24">
        <f>IF(ROW(B145)&lt;LoanPeriod*12+ROW($B$9)-1,G144," ")</f>
        <v>14000.384972757813</v>
      </c>
      <c r="D145" s="24">
        <f>IF(ROW(C145)&lt;LoanPeriod*12+ROW($B$9)-1,MonthlyPayment," ")</f>
        <v>2017.0915511034575</v>
      </c>
      <c r="E145" s="24">
        <f>IF(ROW(C145)&lt;LoanPeriod*12+ROW($B$9)-1,C145*InterestRate/100/12," ")</f>
        <v>29.750818067110355</v>
      </c>
      <c r="F145" s="24">
        <f>IF(ROW(B145)&lt;LoanPeriod*12+ROW($B$9)-1,D145-E145," ")</f>
        <v>1987.340733036347</v>
      </c>
      <c r="G145" s="24">
        <f>IF(ROW(C145)&lt;LoanPeriod*12+ROW($B$9)-1,C145-F145," ")</f>
        <v>12013.044239721465</v>
      </c>
    </row>
    <row r="146" s="0" ht="18" customHeight="0" customFormat="0">
      <c r="A146" t="s">
        <v>2</v>
      </c>
      <c r="B146" s="23">
        <f>IF(ROW(B146)&lt;LoanPeriod*12+ROW($B$9)-1,EDATE(B145,1)," ")</f>
        <v>50222</v>
      </c>
      <c r="C146" s="24">
        <f>IF(ROW(B146)&lt;LoanPeriod*12+ROW($B$9)-1,G145," ")</f>
        <v>12013.044239721465</v>
      </c>
      <c r="D146" s="24">
        <f>IF(ROW(C146)&lt;LoanPeriod*12+ROW($B$9)-1,MonthlyPayment," ")</f>
        <v>2017.0915511034575</v>
      </c>
      <c r="E146" s="24">
        <f>IF(ROW(C146)&lt;LoanPeriod*12+ROW($B$9)-1,C146*InterestRate/100/12," ")</f>
        <v>25.527719009408113</v>
      </c>
      <c r="F146" s="24">
        <f>IF(ROW(B146)&lt;LoanPeriod*12+ROW($B$9)-1,D146-E146," ")</f>
        <v>1991.5638320940493</v>
      </c>
      <c r="G146" s="24">
        <f>IF(ROW(C146)&lt;LoanPeriod*12+ROW($B$9)-1,C146-F146," ")</f>
        <v>10021.480407627416</v>
      </c>
    </row>
    <row r="147" s="0" ht="18" customHeight="0" customFormat="0">
      <c r="A147" t="s">
        <v>2</v>
      </c>
      <c r="B147" s="23">
        <f>IF(ROW(B147)&lt;LoanPeriod*12+ROW($B$9)-1,EDATE(B146,1)," ")</f>
        <v>50253</v>
      </c>
      <c r="C147" s="24">
        <f>IF(ROW(B147)&lt;LoanPeriod*12+ROW($B$9)-1,G146," ")</f>
        <v>10021.480407627416</v>
      </c>
      <c r="D147" s="24">
        <f>IF(ROW(C147)&lt;LoanPeriod*12+ROW($B$9)-1,MonthlyPayment," ")</f>
        <v>2017.0915511034575</v>
      </c>
      <c r="E147" s="24">
        <f>IF(ROW(C147)&lt;LoanPeriod*12+ROW($B$9)-1,C147*InterestRate/100/12," ")</f>
        <v>21.295645866208258</v>
      </c>
      <c r="F147" s="24">
        <f>IF(ROW(B147)&lt;LoanPeriod*12+ROW($B$9)-1,D147-E147," ")</f>
        <v>1995.7959052372491</v>
      </c>
      <c r="G147" s="24">
        <f>IF(ROW(C147)&lt;LoanPeriod*12+ROW($B$9)-1,C147-F147," ")</f>
        <v>8025.684502390167</v>
      </c>
    </row>
    <row r="148" s="0" ht="18" customHeight="0" customFormat="0">
      <c r="A148" t="s">
        <v>2</v>
      </c>
      <c r="B148" s="23">
        <f>IF(ROW(B148)&lt;LoanPeriod*12+ROW($B$9)-1,EDATE(B147,1)," ")</f>
        <v>50284</v>
      </c>
      <c r="C148" s="24">
        <f>IF(ROW(B148)&lt;LoanPeriod*12+ROW($B$9)-1,G147," ")</f>
        <v>8025.684502390167</v>
      </c>
      <c r="D148" s="24">
        <f>IF(ROW(C148)&lt;LoanPeriod*12+ROW($B$9)-1,MonthlyPayment," ")</f>
        <v>2017.0915511034575</v>
      </c>
      <c r="E148" s="24">
        <f>IF(ROW(C148)&lt;LoanPeriod*12+ROW($B$9)-1,C148*InterestRate/100/12," ")</f>
        <v>17.054579567579104</v>
      </c>
      <c r="F148" s="24">
        <f>IF(ROW(B148)&lt;LoanPeriod*12+ROW($B$9)-1,D148-E148," ")</f>
        <v>2000.0369715358784</v>
      </c>
      <c r="G148" s="24">
        <f>IF(ROW(C148)&lt;LoanPeriod*12+ROW($B$9)-1,C148-F148," ")</f>
        <v>6025.647530854289</v>
      </c>
    </row>
    <row r="149" s="0" ht="18" customHeight="0" customFormat="0">
      <c r="A149" t="s">
        <v>2</v>
      </c>
      <c r="B149" s="23">
        <f>IF(ROW(B149)&lt;LoanPeriod*12+ROW($B$9)-1,EDATE(B148,1)," ")</f>
        <v>50314</v>
      </c>
      <c r="C149" s="24">
        <f>IF(ROW(B149)&lt;LoanPeriod*12+ROW($B$9)-1,G148," ")</f>
        <v>6025.647530854289</v>
      </c>
      <c r="D149" s="24">
        <f>IF(ROW(C149)&lt;LoanPeriod*12+ROW($B$9)-1,MonthlyPayment," ")</f>
        <v>2017.0915511034575</v>
      </c>
      <c r="E149" s="24">
        <f>IF(ROW(C149)&lt;LoanPeriod*12+ROW($B$9)-1,C149*InterestRate/100/12," ")</f>
        <v>12.804501003065363</v>
      </c>
      <c r="F149" s="24">
        <f>IF(ROW(B149)&lt;LoanPeriod*12+ROW($B$9)-1,D149-E149," ")</f>
        <v>2004.2870501003922</v>
      </c>
      <c r="G149" s="24">
        <f>IF(ROW(C149)&lt;LoanPeriod*12+ROW($B$9)-1,C149-F149," ")</f>
        <v>4021.3604807538964</v>
      </c>
    </row>
    <row r="150" s="0" ht="18" customHeight="0" customFormat="0">
      <c r="A150" t="s">
        <v>2</v>
      </c>
      <c r="B150" s="23">
        <f>IF(ROW(B150)&lt;LoanPeriod*12+ROW($B$9)-1,EDATE(B149,1)," ")</f>
        <v>50345</v>
      </c>
      <c r="C150" s="24">
        <f>IF(ROW(B150)&lt;LoanPeriod*12+ROW($B$9)-1,G149," ")</f>
        <v>4021.3604807538964</v>
      </c>
      <c r="D150" s="24">
        <f>IF(ROW(C150)&lt;LoanPeriod*12+ROW($B$9)-1,MonthlyPayment," ")</f>
        <v>2017.0915511034575</v>
      </c>
      <c r="E150" s="24">
        <f>IF(ROW(C150)&lt;LoanPeriod*12+ROW($B$9)-1,C150*InterestRate/100/12," ")</f>
        <v>8.54539102160203</v>
      </c>
      <c r="F150" s="24">
        <f>IF(ROW(B150)&lt;LoanPeriod*12+ROW($B$9)-1,D150-E150," ")</f>
        <v>2008.5461600818555</v>
      </c>
      <c r="G150" s="24">
        <f>IF(ROW(C150)&lt;LoanPeriod*12+ROW($B$9)-1,C150-F150," ")</f>
        <v>2012.8143206720408</v>
      </c>
    </row>
    <row r="151" s="0" ht="18" customHeight="0" customFormat="0">
      <c r="A151" t="s">
        <v>2</v>
      </c>
      <c r="B151" s="23">
        <f>IF(ROW(B151)&lt;LoanPeriod*12+ROW($B$9)-1,EDATE(B150,1)," ")</f>
        <v>50375</v>
      </c>
      <c r="C151" s="24">
        <f>IF(ROW(B151)&lt;LoanPeriod*12+ROW($B$9)-1,G150," ")</f>
        <v>2012.8143206720408</v>
      </c>
      <c r="D151" s="24">
        <f>IF(ROW(C151)&lt;LoanPeriod*12+ROW($B$9)-1,MonthlyPayment," ")</f>
        <v>2017.0915511034575</v>
      </c>
      <c r="E151" s="24">
        <f>IF(ROW(C151)&lt;LoanPeriod*12+ROW($B$9)-1,C151*InterestRate/100/12," ")</f>
        <v>4.2772304314280865</v>
      </c>
      <c r="F151" s="24">
        <f>IF(ROW(B151)&lt;LoanPeriod*12+ROW($B$9)-1,D151-E151," ")</f>
        <v>2012.8143206720295</v>
      </c>
      <c r="G151" s="24">
        <f>IF(ROW(C151)&lt;LoanPeriod*12+ROW($B$9)-1,C151-F151," ")</f>
        <v>0.000000000011368683772161603</v>
      </c>
    </row>
    <row r="152" s="0" ht="18" customHeight="0" customFormat="0">
      <c r="A152" t="s">
        <v>2</v>
      </c>
      <c r="B152" t="str" s="20">
        <f>IF(ROW(B152)&lt;LoanPeriod*12+ROW($B$9)-1,EDATE(B151,1)," ")</f>
        <v> </v>
      </c>
      <c r="C152" t="str" s="21">
        <f>IF(ROW(B152)&lt;LoanPeriod*12+ROW($B$9)-1,G151," ")</f>
        <v> </v>
      </c>
      <c r="D152" t="str" s="21">
        <f>IF(ROW(C152)&lt;LoanPeriod*12+ROW($B$9)-1,MonthlyPayment," ")</f>
        <v> </v>
      </c>
      <c r="E152" t="str" s="21">
        <f>IF(ROW(C152)&lt;LoanPeriod*12+ROW($B$9)-1,C152*InterestRate/100/12," ")</f>
        <v> </v>
      </c>
      <c r="F152" t="str" s="21">
        <f>IF(ROW(B152)&lt;LoanPeriod*12+ROW($B$9)-1,D152-E152," ")</f>
        <v> </v>
      </c>
      <c r="G152" t="str" s="21">
        <f>IF(ROW(C152)&lt;LoanPeriod*12+ROW($B$9)-1,C152-F152," ")</f>
        <v> </v>
      </c>
    </row>
    <row r="153" s="0" ht="18" customHeight="0" customFormat="0">
      <c r="A153" t="s">
        <v>2</v>
      </c>
      <c r="B153" t="str" s="20">
        <f>IF(ROW(B153)&lt;LoanPeriod*12+ROW($B$9)-1,EDATE(B152,1)," ")</f>
        <v> </v>
      </c>
      <c r="C153" t="str" s="21">
        <f>IF(ROW(B153)&lt;LoanPeriod*12+ROW($B$9)-1,G152," ")</f>
        <v> </v>
      </c>
      <c r="D153" t="str" s="21">
        <f>IF(ROW(C153)&lt;LoanPeriod*12+ROW($B$9)-1,MonthlyPayment," ")</f>
        <v> </v>
      </c>
      <c r="E153" t="str" s="21">
        <f>IF(ROW(C153)&lt;LoanPeriod*12+ROW($B$9)-1,C153*InterestRate/100/12," ")</f>
        <v> </v>
      </c>
      <c r="F153" t="str" s="21">
        <f>IF(ROW(B153)&lt;LoanPeriod*12+ROW($B$9)-1,D153-E153," ")</f>
        <v> </v>
      </c>
      <c r="G153" t="str" s="21">
        <f>IF(ROW(C153)&lt;LoanPeriod*12+ROW($B$9)-1,C153-F153," ")</f>
        <v> </v>
      </c>
    </row>
    <row r="154" s="0" ht="18" customHeight="0" customFormat="0">
      <c r="A154" t="s">
        <v>2</v>
      </c>
      <c r="B154" t="str" s="20">
        <f>IF(ROW(B154)&lt;LoanPeriod*12+ROW($B$9)-1,EDATE(B153,1)," ")</f>
        <v> </v>
      </c>
      <c r="C154" t="str" s="21">
        <f>IF(ROW(B154)&lt;LoanPeriod*12+ROW($B$9)-1,G153," ")</f>
        <v> </v>
      </c>
      <c r="D154" t="str" s="21">
        <f>IF(ROW(C154)&lt;LoanPeriod*12+ROW($B$9)-1,MonthlyPayment," ")</f>
        <v> </v>
      </c>
      <c r="E154" t="str" s="21">
        <f>IF(ROW(C154)&lt;LoanPeriod*12+ROW($B$9)-1,C154*InterestRate/100/12," ")</f>
        <v> </v>
      </c>
      <c r="F154" t="str" s="21">
        <f>IF(ROW(B154)&lt;LoanPeriod*12+ROW($B$9)-1,D154-E154," ")</f>
        <v> </v>
      </c>
      <c r="G154" t="str" s="21">
        <f>IF(ROW(C154)&lt;LoanPeriod*12+ROW($B$9)-1,C154-F154," ")</f>
        <v> </v>
      </c>
    </row>
    <row r="155" s="0" ht="18" customHeight="0" customFormat="0">
      <c r="A155" t="s">
        <v>2</v>
      </c>
      <c r="B155" t="str" s="20">
        <f>IF(ROW(B155)&lt;LoanPeriod*12+ROW($B$9)-1,EDATE(B154,1)," ")</f>
        <v> </v>
      </c>
      <c r="C155" t="str" s="21">
        <f>IF(ROW(B155)&lt;LoanPeriod*12+ROW($B$9)-1,G154," ")</f>
        <v> </v>
      </c>
      <c r="D155" t="str" s="21">
        <f>IF(ROW(C155)&lt;LoanPeriod*12+ROW($B$9)-1,MonthlyPayment," ")</f>
        <v> </v>
      </c>
      <c r="E155" t="str" s="21">
        <f>IF(ROW(C155)&lt;LoanPeriod*12+ROW($B$9)-1,C155*InterestRate/100/12," ")</f>
        <v> </v>
      </c>
      <c r="F155" t="str" s="21">
        <f>IF(ROW(B155)&lt;LoanPeriod*12+ROW($B$9)-1,D155-E155," ")</f>
        <v> </v>
      </c>
      <c r="G155" t="str" s="21">
        <f>IF(ROW(C155)&lt;LoanPeriod*12+ROW($B$9)-1,C155-F155," ")</f>
        <v> </v>
      </c>
    </row>
    <row r="156" s="0" ht="18" customHeight="0" customFormat="0">
      <c r="A156" t="s">
        <v>2</v>
      </c>
      <c r="B156" t="str" s="20">
        <f>IF(ROW(B156)&lt;LoanPeriod*12+ROW($B$9)-1,EDATE(B155,1)," ")</f>
        <v> </v>
      </c>
      <c r="C156" t="str" s="21">
        <f>IF(ROW(B156)&lt;LoanPeriod*12+ROW($B$9)-1,G155," ")</f>
        <v> </v>
      </c>
      <c r="D156" t="str" s="21">
        <f>IF(ROW(C156)&lt;LoanPeriod*12+ROW($B$9)-1,MonthlyPayment," ")</f>
        <v> </v>
      </c>
      <c r="E156" t="str" s="21">
        <f>IF(ROW(C156)&lt;LoanPeriod*12+ROW($B$9)-1,C156*InterestRate/100/12," ")</f>
        <v> </v>
      </c>
      <c r="F156" t="str" s="21">
        <f>IF(ROW(B156)&lt;LoanPeriod*12+ROW($B$9)-1,D156-E156," ")</f>
        <v> </v>
      </c>
      <c r="G156" t="str" s="21">
        <f>IF(ROW(C156)&lt;LoanPeriod*12+ROW($B$9)-1,C156-F156," ")</f>
        <v> </v>
      </c>
    </row>
    <row r="157" s="0" ht="18" customHeight="0" customFormat="0">
      <c r="A157" t="s">
        <v>2</v>
      </c>
      <c r="B157" t="str" s="20">
        <f>IF(ROW(B157)&lt;LoanPeriod*12+ROW($B$9)-1,EDATE(B156,1)," ")</f>
        <v> </v>
      </c>
      <c r="C157" t="str" s="21">
        <f>IF(ROW(B157)&lt;LoanPeriod*12+ROW($B$9)-1,G156," ")</f>
        <v> </v>
      </c>
      <c r="D157" t="str" s="21">
        <f>IF(ROW(C157)&lt;LoanPeriod*12+ROW($B$9)-1,MonthlyPayment," ")</f>
        <v> </v>
      </c>
      <c r="E157" t="str" s="21">
        <f>IF(ROW(C157)&lt;LoanPeriod*12+ROW($B$9)-1,C157*InterestRate/100/12," ")</f>
        <v> </v>
      </c>
      <c r="F157" t="str" s="21">
        <f>IF(ROW(B157)&lt;LoanPeriod*12+ROW($B$9)-1,D157-E157," ")</f>
        <v> </v>
      </c>
      <c r="G157" t="str" s="21">
        <f>IF(ROW(C157)&lt;LoanPeriod*12+ROW($B$9)-1,C157-F157," ")</f>
        <v> </v>
      </c>
    </row>
    <row r="158" s="0" ht="18" customHeight="0" customFormat="0">
      <c r="A158" t="s">
        <v>2</v>
      </c>
      <c r="B158" t="str" s="20">
        <f>IF(ROW(B158)&lt;LoanPeriod*12+ROW($B$9)-1,EDATE(B157,1)," ")</f>
        <v> </v>
      </c>
      <c r="C158" t="str" s="21">
        <f>IF(ROW(B158)&lt;LoanPeriod*12+ROW($B$9)-1,G157," ")</f>
        <v> </v>
      </c>
      <c r="D158" t="str" s="21">
        <f>IF(ROW(C158)&lt;LoanPeriod*12+ROW($B$9)-1,MonthlyPayment," ")</f>
        <v> </v>
      </c>
      <c r="E158" t="str" s="21">
        <f>IF(ROW(C158)&lt;LoanPeriod*12+ROW($B$9)-1,C158*InterestRate/100/12," ")</f>
        <v> </v>
      </c>
      <c r="F158" t="str" s="21">
        <f>IF(ROW(B158)&lt;LoanPeriod*12+ROW($B$9)-1,D158-E158," ")</f>
        <v> </v>
      </c>
      <c r="G158" t="str" s="21">
        <f>IF(ROW(C158)&lt;LoanPeriod*12+ROW($B$9)-1,C158-F158," ")</f>
        <v> </v>
      </c>
    </row>
    <row r="159" s="0" ht="18" customHeight="0" customFormat="0">
      <c r="A159" t="s">
        <v>2</v>
      </c>
      <c r="B159" t="str" s="20">
        <f>IF(ROW(B159)&lt;LoanPeriod*12+ROW($B$9)-1,EDATE(B158,1)," ")</f>
        <v> </v>
      </c>
      <c r="C159" t="str" s="21">
        <f>IF(ROW(B159)&lt;LoanPeriod*12+ROW($B$9)-1,G158," ")</f>
        <v> </v>
      </c>
      <c r="D159" t="str" s="21">
        <f>IF(ROW(C159)&lt;LoanPeriod*12+ROW($B$9)-1,MonthlyPayment," ")</f>
        <v> </v>
      </c>
      <c r="E159" t="str" s="21">
        <f>IF(ROW(C159)&lt;LoanPeriod*12+ROW($B$9)-1,C159*InterestRate/100/12," ")</f>
        <v> </v>
      </c>
      <c r="F159" t="str" s="21">
        <f>IF(ROW(B159)&lt;LoanPeriod*12+ROW($B$9)-1,D159-E159," ")</f>
        <v> </v>
      </c>
      <c r="G159" t="str" s="21">
        <f>IF(ROW(C159)&lt;LoanPeriod*12+ROW($B$9)-1,C159-F159," ")</f>
        <v> </v>
      </c>
    </row>
    <row r="160" s="0" ht="18" customHeight="0" customFormat="0">
      <c r="A160" t="s">
        <v>2</v>
      </c>
      <c r="B160" t="str" s="20">
        <f>IF(ROW(B160)&lt;LoanPeriod*12+ROW($B$9)-1,EDATE(B159,1)," ")</f>
        <v> </v>
      </c>
      <c r="C160" t="str" s="21">
        <f>IF(ROW(B160)&lt;LoanPeriod*12+ROW($B$9)-1,G159," ")</f>
        <v> </v>
      </c>
      <c r="D160" t="str" s="21">
        <f>IF(ROW(C160)&lt;LoanPeriod*12+ROW($B$9)-1,MonthlyPayment," ")</f>
        <v> </v>
      </c>
      <c r="E160" t="str" s="21">
        <f>IF(ROW(C160)&lt;LoanPeriod*12+ROW($B$9)-1,C160*InterestRate/100/12," ")</f>
        <v> </v>
      </c>
      <c r="F160" t="str" s="21">
        <f>IF(ROW(B160)&lt;LoanPeriod*12+ROW($B$9)-1,D160-E160," ")</f>
        <v> </v>
      </c>
      <c r="G160" t="str" s="21">
        <f>IF(ROW(C160)&lt;LoanPeriod*12+ROW($B$9)-1,C160-F160," ")</f>
        <v> </v>
      </c>
    </row>
    <row r="161" s="0" ht="18" customHeight="0" customFormat="0">
      <c r="A161" t="s">
        <v>2</v>
      </c>
      <c r="B161" t="str" s="20">
        <f>IF(ROW(B161)&lt;LoanPeriod*12+ROW($B$9)-1,EDATE(B160,1)," ")</f>
        <v> </v>
      </c>
      <c r="C161" t="str" s="21">
        <f>IF(ROW(B161)&lt;LoanPeriod*12+ROW($B$9)-1,G160," ")</f>
        <v> </v>
      </c>
      <c r="D161" t="str" s="21">
        <f>IF(ROW(C161)&lt;LoanPeriod*12+ROW($B$9)-1,MonthlyPayment," ")</f>
        <v> </v>
      </c>
      <c r="E161" t="str" s="21">
        <f>IF(ROW(C161)&lt;LoanPeriod*12+ROW($B$9)-1,C161*InterestRate/100/12," ")</f>
        <v> </v>
      </c>
      <c r="F161" t="str" s="21">
        <f>IF(ROW(B161)&lt;LoanPeriod*12+ROW($B$9)-1,D161-E161," ")</f>
        <v> </v>
      </c>
      <c r="G161" t="str" s="21">
        <f>IF(ROW(C161)&lt;LoanPeriod*12+ROW($B$9)-1,C161-F161," ")</f>
        <v> </v>
      </c>
    </row>
    <row r="162" s="0" ht="18" customHeight="0" customFormat="0">
      <c r="A162" t="s">
        <v>2</v>
      </c>
      <c r="B162" t="str" s="20">
        <f>IF(ROW(B162)&lt;LoanPeriod*12+ROW($B$9)-1,EDATE(B161,1)," ")</f>
        <v> </v>
      </c>
      <c r="C162" t="str" s="21">
        <f>IF(ROW(B162)&lt;LoanPeriod*12+ROW($B$9)-1,G161," ")</f>
        <v> </v>
      </c>
      <c r="D162" t="str" s="21">
        <f>IF(ROW(C162)&lt;LoanPeriod*12+ROW($B$9)-1,MonthlyPayment," ")</f>
        <v> </v>
      </c>
      <c r="E162" t="str" s="21">
        <f>IF(ROW(C162)&lt;LoanPeriod*12+ROW($B$9)-1,C162*InterestRate/100/12," ")</f>
        <v> </v>
      </c>
      <c r="F162" t="str" s="21">
        <f>IF(ROW(B162)&lt;LoanPeriod*12+ROW($B$9)-1,D162-E162," ")</f>
        <v> </v>
      </c>
      <c r="G162" t="str" s="21">
        <f>IF(ROW(C162)&lt;LoanPeriod*12+ROW($B$9)-1,C162-F162," ")</f>
        <v> </v>
      </c>
    </row>
    <row r="163" s="0" ht="18" customHeight="0" customFormat="0">
      <c r="A163" t="s">
        <v>2</v>
      </c>
      <c r="B163" t="str" s="20">
        <f>IF(ROW(B163)&lt;LoanPeriod*12+ROW($B$9)-1,EDATE(B162,1)," ")</f>
        <v> </v>
      </c>
      <c r="C163" t="str" s="21">
        <f>IF(ROW(B163)&lt;LoanPeriod*12+ROW($B$9)-1,G162," ")</f>
        <v> </v>
      </c>
      <c r="D163" t="str" s="21">
        <f>IF(ROW(C163)&lt;LoanPeriod*12+ROW($B$9)-1,MonthlyPayment," ")</f>
        <v> </v>
      </c>
      <c r="E163" t="str" s="21">
        <f>IF(ROW(C163)&lt;LoanPeriod*12+ROW($B$9)-1,C163*InterestRate/100/12," ")</f>
        <v> </v>
      </c>
      <c r="F163" t="str" s="21">
        <f>IF(ROW(B163)&lt;LoanPeriod*12+ROW($B$9)-1,D163-E163," ")</f>
        <v> </v>
      </c>
      <c r="G163" t="str" s="21">
        <f>IF(ROW(C163)&lt;LoanPeriod*12+ROW($B$9)-1,C163-F163," ")</f>
        <v> </v>
      </c>
    </row>
    <row r="164" s="0" ht="18" customHeight="0" customFormat="0">
      <c r="A164" t="s">
        <v>2</v>
      </c>
      <c r="B164" t="str" s="20">
        <f>IF(ROW(B164)&lt;LoanPeriod*12+ROW($B$9)-1,EDATE(B163,1)," ")</f>
        <v> </v>
      </c>
      <c r="C164" t="str" s="21">
        <f>IF(ROW(B164)&lt;LoanPeriod*12+ROW($B$9)-1,G163," ")</f>
        <v> </v>
      </c>
      <c r="D164" t="str" s="21">
        <f>IF(ROW(C164)&lt;LoanPeriod*12+ROW($B$9)-1,MonthlyPayment," ")</f>
        <v> </v>
      </c>
      <c r="E164" t="str" s="21">
        <f>IF(ROW(C164)&lt;LoanPeriod*12+ROW($B$9)-1,C164*InterestRate/100/12," ")</f>
        <v> </v>
      </c>
      <c r="F164" t="str" s="21">
        <f>IF(ROW(B164)&lt;LoanPeriod*12+ROW($B$9)-1,D164-E164," ")</f>
        <v> </v>
      </c>
      <c r="G164" t="str" s="21">
        <f>IF(ROW(C164)&lt;LoanPeriod*12+ROW($B$9)-1,C164-F164," ")</f>
        <v> </v>
      </c>
    </row>
    <row r="165" s="0" ht="18" customHeight="0" customFormat="0">
      <c r="A165" t="s">
        <v>2</v>
      </c>
      <c r="B165" t="str" s="20">
        <f>IF(ROW(B165)&lt;LoanPeriod*12+ROW($B$9)-1,EDATE(B164,1)," ")</f>
        <v> </v>
      </c>
      <c r="C165" t="str" s="21">
        <f>IF(ROW(B165)&lt;LoanPeriod*12+ROW($B$9)-1,G164," ")</f>
        <v> </v>
      </c>
      <c r="D165" t="str" s="21">
        <f>IF(ROW(C165)&lt;LoanPeriod*12+ROW($B$9)-1,MonthlyPayment," ")</f>
        <v> </v>
      </c>
      <c r="E165" t="str" s="21">
        <f>IF(ROW(C165)&lt;LoanPeriod*12+ROW($B$9)-1,C165*InterestRate/100/12," ")</f>
        <v> </v>
      </c>
      <c r="F165" t="str" s="21">
        <f>IF(ROW(B165)&lt;LoanPeriod*12+ROW($B$9)-1,D165-E165," ")</f>
        <v> </v>
      </c>
      <c r="G165" t="str" s="21">
        <f>IF(ROW(C165)&lt;LoanPeriod*12+ROW($B$9)-1,C165-F165," ")</f>
        <v> </v>
      </c>
    </row>
    <row r="166" s="0" ht="18" customHeight="0" customFormat="0">
      <c r="A166" t="s">
        <v>2</v>
      </c>
      <c r="B166" t="str" s="20">
        <f>IF(ROW(B166)&lt;LoanPeriod*12+ROW($B$9)-1,EDATE(B165,1)," ")</f>
        <v> </v>
      </c>
      <c r="C166" t="str" s="21">
        <f>IF(ROW(B166)&lt;LoanPeriod*12+ROW($B$9)-1,G165," ")</f>
        <v> </v>
      </c>
      <c r="D166" t="str" s="21">
        <f>IF(ROW(C166)&lt;LoanPeriod*12+ROW($B$9)-1,MonthlyPayment," ")</f>
        <v> </v>
      </c>
      <c r="E166" t="str" s="21">
        <f>IF(ROW(C166)&lt;LoanPeriod*12+ROW($B$9)-1,C166*InterestRate/100/12," ")</f>
        <v> </v>
      </c>
      <c r="F166" t="str" s="21">
        <f>IF(ROW(B166)&lt;LoanPeriod*12+ROW($B$9)-1,D166-E166," ")</f>
        <v> </v>
      </c>
      <c r="G166" t="str" s="21">
        <f>IF(ROW(C166)&lt;LoanPeriod*12+ROW($B$9)-1,C166-F166," ")</f>
        <v> </v>
      </c>
    </row>
    <row r="167" s="0" ht="18" customHeight="0" customFormat="0">
      <c r="A167" t="s">
        <v>2</v>
      </c>
      <c r="B167" t="str" s="20">
        <f>IF(ROW(B167)&lt;LoanPeriod*12+ROW($B$9)-1,EDATE(B166,1)," ")</f>
        <v> </v>
      </c>
      <c r="C167" t="str" s="21">
        <f>IF(ROW(B167)&lt;LoanPeriod*12+ROW($B$9)-1,G166," ")</f>
        <v> </v>
      </c>
      <c r="D167" t="str" s="21">
        <f>IF(ROW(C167)&lt;LoanPeriod*12+ROW($B$9)-1,MonthlyPayment," ")</f>
        <v> </v>
      </c>
      <c r="E167" t="str" s="21">
        <f>IF(ROW(C167)&lt;LoanPeriod*12+ROW($B$9)-1,C167*InterestRate/100/12," ")</f>
        <v> </v>
      </c>
      <c r="F167" t="str" s="21">
        <f>IF(ROW(B167)&lt;LoanPeriod*12+ROW($B$9)-1,D167-E167," ")</f>
        <v> </v>
      </c>
      <c r="G167" t="str" s="21">
        <f>IF(ROW(C167)&lt;LoanPeriod*12+ROW($B$9)-1,C167-F167," ")</f>
        <v> </v>
      </c>
    </row>
    <row r="168" s="0" ht="18" customHeight="0" customFormat="0">
      <c r="A168" t="s">
        <v>2</v>
      </c>
      <c r="B168" t="str" s="20">
        <f>IF(ROW(B168)&lt;LoanPeriod*12+ROW($B$9)-1,EDATE(B167,1)," ")</f>
        <v> </v>
      </c>
      <c r="C168" t="str" s="21">
        <f>IF(ROW(B168)&lt;LoanPeriod*12+ROW($B$9)-1,G167," ")</f>
        <v> </v>
      </c>
      <c r="D168" t="str" s="21">
        <f>IF(ROW(C168)&lt;LoanPeriod*12+ROW($B$9)-1,MonthlyPayment," ")</f>
        <v> </v>
      </c>
      <c r="E168" t="str" s="21">
        <f>IF(ROW(C168)&lt;LoanPeriod*12+ROW($B$9)-1,C168*InterestRate/100/12," ")</f>
        <v> </v>
      </c>
      <c r="F168" t="str" s="21">
        <f>IF(ROW(B168)&lt;LoanPeriod*12+ROW($B$9)-1,D168-E168," ")</f>
        <v> </v>
      </c>
      <c r="G168" t="str" s="21">
        <f>IF(ROW(C168)&lt;LoanPeriod*12+ROW($B$9)-1,C168-F168," ")</f>
        <v> </v>
      </c>
    </row>
    <row r="169" s="0" ht="18" customHeight="0" customFormat="0">
      <c r="A169" t="s">
        <v>2</v>
      </c>
      <c r="B169" t="str" s="20">
        <f>IF(ROW(B169)&lt;LoanPeriod*12+ROW($B$9)-1,EDATE(B168,1)," ")</f>
        <v> </v>
      </c>
      <c r="C169" t="str" s="21">
        <f>IF(ROW(B169)&lt;LoanPeriod*12+ROW($B$9)-1,G168," ")</f>
        <v> </v>
      </c>
      <c r="D169" t="str" s="21">
        <f>IF(ROW(C169)&lt;LoanPeriod*12+ROW($B$9)-1,MonthlyPayment," ")</f>
        <v> </v>
      </c>
      <c r="E169" t="str" s="21">
        <f>IF(ROW(C169)&lt;LoanPeriod*12+ROW($B$9)-1,C169*InterestRate/100/12," ")</f>
        <v> </v>
      </c>
      <c r="F169" t="str" s="21">
        <f>IF(ROW(B169)&lt;LoanPeriod*12+ROW($B$9)-1,D169-E169," ")</f>
        <v> </v>
      </c>
      <c r="G169" t="str" s="21">
        <f>IF(ROW(C169)&lt;LoanPeriod*12+ROW($B$9)-1,C169-F169," ")</f>
        <v> </v>
      </c>
    </row>
    <row r="170" s="0" ht="18" customHeight="0" customFormat="0">
      <c r="A170" t="s">
        <v>2</v>
      </c>
      <c r="B170" t="str" s="20">
        <f>IF(ROW(B170)&lt;LoanPeriod*12+ROW($B$9)-1,EDATE(B169,1)," ")</f>
        <v> </v>
      </c>
      <c r="C170" t="str" s="21">
        <f>IF(ROW(B170)&lt;LoanPeriod*12+ROW($B$9)-1,G169," ")</f>
        <v> </v>
      </c>
      <c r="D170" t="str" s="21">
        <f>IF(ROW(C170)&lt;LoanPeriod*12+ROW($B$9)-1,MonthlyPayment," ")</f>
        <v> </v>
      </c>
      <c r="E170" t="str" s="21">
        <f>IF(ROW(C170)&lt;LoanPeriod*12+ROW($B$9)-1,C170*InterestRate/100/12," ")</f>
        <v> </v>
      </c>
      <c r="F170" t="str" s="21">
        <f>IF(ROW(B170)&lt;LoanPeriod*12+ROW($B$9)-1,D170-E170," ")</f>
        <v> </v>
      </c>
      <c r="G170" t="str" s="21">
        <f>IF(ROW(C170)&lt;LoanPeriod*12+ROW($B$9)-1,C170-F170," ")</f>
        <v> </v>
      </c>
    </row>
    <row r="171" s="0" ht="18" customHeight="0" customFormat="0">
      <c r="A171" t="s">
        <v>2</v>
      </c>
      <c r="B171" t="str" s="20">
        <f>IF(ROW(B171)&lt;LoanPeriod*12+ROW($B$9)-1,EDATE(B170,1)," ")</f>
        <v> </v>
      </c>
      <c r="C171" t="str" s="21">
        <f>IF(ROW(B171)&lt;LoanPeriod*12+ROW($B$9)-1,G170," ")</f>
        <v> </v>
      </c>
      <c r="D171" t="str" s="21">
        <f>IF(ROW(C171)&lt;LoanPeriod*12+ROW($B$9)-1,MonthlyPayment," ")</f>
        <v> </v>
      </c>
      <c r="E171" t="str" s="21">
        <f>IF(ROW(C171)&lt;LoanPeriod*12+ROW($B$9)-1,C171*InterestRate/100/12," ")</f>
        <v> </v>
      </c>
      <c r="F171" t="str" s="21">
        <f>IF(ROW(B171)&lt;LoanPeriod*12+ROW($B$9)-1,D171-E171," ")</f>
        <v> </v>
      </c>
      <c r="G171" t="str" s="21">
        <f>IF(ROW(C171)&lt;LoanPeriod*12+ROW($B$9)-1,C171-F171," ")</f>
        <v> </v>
      </c>
    </row>
    <row r="172" s="0" ht="18" customHeight="0" customFormat="0">
      <c r="A172" t="s">
        <v>2</v>
      </c>
      <c r="B172" t="str" s="20">
        <f>IF(ROW(B172)&lt;LoanPeriod*12+ROW($B$9)-1,EDATE(B171,1)," ")</f>
        <v> </v>
      </c>
      <c r="C172" t="str" s="21">
        <f>IF(ROW(B172)&lt;LoanPeriod*12+ROW($B$9)-1,G171," ")</f>
        <v> </v>
      </c>
      <c r="D172" t="str" s="21">
        <f>IF(ROW(C172)&lt;LoanPeriod*12+ROW($B$9)-1,MonthlyPayment," ")</f>
        <v> </v>
      </c>
      <c r="E172" t="str" s="21">
        <f>IF(ROW(C172)&lt;LoanPeriod*12+ROW($B$9)-1,C172*InterestRate/100/12," ")</f>
        <v> </v>
      </c>
      <c r="F172" t="str" s="21">
        <f>IF(ROW(B172)&lt;LoanPeriod*12+ROW($B$9)-1,D172-E172," ")</f>
        <v> </v>
      </c>
      <c r="G172" t="str" s="21">
        <f>IF(ROW(C172)&lt;LoanPeriod*12+ROW($B$9)-1,C172-F172," ")</f>
        <v> </v>
      </c>
    </row>
    <row r="173" s="0" ht="18" customHeight="0" customFormat="0">
      <c r="A173" t="s">
        <v>2</v>
      </c>
      <c r="B173" t="str" s="20">
        <f>IF(ROW(B173)&lt;LoanPeriod*12+ROW($B$9)-1,EDATE(B172,1)," ")</f>
        <v> </v>
      </c>
      <c r="C173" t="str" s="21">
        <f>IF(ROW(B173)&lt;LoanPeriod*12+ROW($B$9)-1,G172," ")</f>
        <v> </v>
      </c>
      <c r="D173" t="str" s="21">
        <f>IF(ROW(C173)&lt;LoanPeriod*12+ROW($B$9)-1,MonthlyPayment," ")</f>
        <v> </v>
      </c>
      <c r="E173" t="str" s="21">
        <f>IF(ROW(C173)&lt;LoanPeriod*12+ROW($B$9)-1,C173*InterestRate/100/12," ")</f>
        <v> </v>
      </c>
      <c r="F173" t="str" s="21">
        <f>IF(ROW(B173)&lt;LoanPeriod*12+ROW($B$9)-1,D173-E173," ")</f>
        <v> </v>
      </c>
      <c r="G173" t="str" s="21">
        <f>IF(ROW(C173)&lt;LoanPeriod*12+ROW($B$9)-1,C173-F173," ")</f>
        <v> </v>
      </c>
    </row>
    <row r="174" s="0" ht="18" customHeight="0" customFormat="0">
      <c r="A174" t="s">
        <v>2</v>
      </c>
      <c r="B174" t="str" s="20">
        <f>IF(ROW(B174)&lt;LoanPeriod*12+ROW($B$9)-1,EDATE(B173,1)," ")</f>
        <v> </v>
      </c>
      <c r="C174" t="str" s="21">
        <f>IF(ROW(B174)&lt;LoanPeriod*12+ROW($B$9)-1,G173," ")</f>
        <v> </v>
      </c>
      <c r="D174" t="str" s="21">
        <f>IF(ROW(C174)&lt;LoanPeriod*12+ROW($B$9)-1,MonthlyPayment," ")</f>
        <v> </v>
      </c>
      <c r="E174" t="str" s="21">
        <f>IF(ROW(C174)&lt;LoanPeriod*12+ROW($B$9)-1,C174*InterestRate/100/12," ")</f>
        <v> </v>
      </c>
      <c r="F174" t="str" s="21">
        <f>IF(ROW(B174)&lt;LoanPeriod*12+ROW($B$9)-1,D174-E174," ")</f>
        <v> </v>
      </c>
      <c r="G174" t="str" s="21">
        <f>IF(ROW(C174)&lt;LoanPeriod*12+ROW($B$9)-1,C174-F174," ")</f>
        <v> </v>
      </c>
    </row>
    <row r="175" s="0" ht="18" customHeight="0" customFormat="0">
      <c r="A175" t="s">
        <v>2</v>
      </c>
      <c r="B175" t="str" s="20">
        <f>IF(ROW(B175)&lt;LoanPeriod*12+ROW($B$9)-1,EDATE(B174,1)," ")</f>
        <v> </v>
      </c>
      <c r="C175" t="str" s="21">
        <f>IF(ROW(B175)&lt;LoanPeriod*12+ROW($B$9)-1,G174," ")</f>
        <v> </v>
      </c>
      <c r="D175" t="str" s="21">
        <f>IF(ROW(C175)&lt;LoanPeriod*12+ROW($B$9)-1,MonthlyPayment," ")</f>
        <v> </v>
      </c>
      <c r="E175" t="str" s="21">
        <f>IF(ROW(C175)&lt;LoanPeriod*12+ROW($B$9)-1,C175*InterestRate/100/12," ")</f>
        <v> </v>
      </c>
      <c r="F175" t="str" s="21">
        <f>IF(ROW(B175)&lt;LoanPeriod*12+ROW($B$9)-1,D175-E175," ")</f>
        <v> </v>
      </c>
      <c r="G175" t="str" s="21">
        <f>IF(ROW(C175)&lt;LoanPeriod*12+ROW($B$9)-1,C175-F175," ")</f>
        <v> </v>
      </c>
    </row>
    <row r="176" s="0" ht="18" customHeight="0" customFormat="0">
      <c r="A176" t="s">
        <v>2</v>
      </c>
      <c r="B176" t="str" s="20">
        <f>IF(ROW(B176)&lt;LoanPeriod*12+ROW($B$9)-1,EDATE(B175,1)," ")</f>
        <v> </v>
      </c>
      <c r="C176" t="str" s="21">
        <f>IF(ROW(B176)&lt;LoanPeriod*12+ROW($B$9)-1,G175," ")</f>
        <v> </v>
      </c>
      <c r="D176" t="str" s="21">
        <f>IF(ROW(C176)&lt;LoanPeriod*12+ROW($B$9)-1,MonthlyPayment," ")</f>
        <v> </v>
      </c>
      <c r="E176" t="str" s="21">
        <f>IF(ROW(C176)&lt;LoanPeriod*12+ROW($B$9)-1,C176*InterestRate/100/12," ")</f>
        <v> </v>
      </c>
      <c r="F176" t="str" s="21">
        <f>IF(ROW(B176)&lt;LoanPeriod*12+ROW($B$9)-1,D176-E176," ")</f>
        <v> </v>
      </c>
      <c r="G176" t="str" s="21">
        <f>IF(ROW(C176)&lt;LoanPeriod*12+ROW($B$9)-1,C176-F176," ")</f>
        <v> </v>
      </c>
    </row>
    <row r="177" s="0" ht="18" customHeight="0" customFormat="0">
      <c r="A177" t="s">
        <v>2</v>
      </c>
      <c r="B177" t="str" s="20">
        <f>IF(ROW(B177)&lt;LoanPeriod*12+ROW($B$9)-1,EDATE(B176,1)," ")</f>
        <v> </v>
      </c>
      <c r="C177" t="str" s="21">
        <f>IF(ROW(B177)&lt;LoanPeriod*12+ROW($B$9)-1,G176," ")</f>
        <v> </v>
      </c>
      <c r="D177" t="str" s="21">
        <f>IF(ROW(C177)&lt;LoanPeriod*12+ROW($B$9)-1,MonthlyPayment," ")</f>
        <v> </v>
      </c>
      <c r="E177" t="str" s="21">
        <f>IF(ROW(C177)&lt;LoanPeriod*12+ROW($B$9)-1,C177*InterestRate/100/12," ")</f>
        <v> </v>
      </c>
      <c r="F177" t="str" s="21">
        <f>IF(ROW(B177)&lt;LoanPeriod*12+ROW($B$9)-1,D177-E177," ")</f>
        <v> </v>
      </c>
      <c r="G177" t="str" s="21">
        <f>IF(ROW(C177)&lt;LoanPeriod*12+ROW($B$9)-1,C177-F177," ")</f>
        <v> </v>
      </c>
    </row>
    <row r="178" s="0" ht="18" customHeight="0" customFormat="0">
      <c r="A178" t="s">
        <v>2</v>
      </c>
      <c r="B178" t="str" s="20">
        <f>IF(ROW(B178)&lt;LoanPeriod*12+ROW($B$9)-1,EDATE(B177,1)," ")</f>
        <v> </v>
      </c>
      <c r="C178" t="str" s="21">
        <f>IF(ROW(B178)&lt;LoanPeriod*12+ROW($B$9)-1,G177," ")</f>
        <v> </v>
      </c>
      <c r="D178" t="str" s="21">
        <f>IF(ROW(C178)&lt;LoanPeriod*12+ROW($B$9)-1,MonthlyPayment," ")</f>
        <v> </v>
      </c>
      <c r="E178" t="str" s="21">
        <f>IF(ROW(C178)&lt;LoanPeriod*12+ROW($B$9)-1,C178*InterestRate/100/12," ")</f>
        <v> </v>
      </c>
      <c r="F178" t="str" s="21">
        <f>IF(ROW(B178)&lt;LoanPeriod*12+ROW($B$9)-1,D178-E178," ")</f>
        <v> </v>
      </c>
      <c r="G178" t="str" s="21">
        <f>IF(ROW(C178)&lt;LoanPeriod*12+ROW($B$9)-1,C178-F178," ")</f>
        <v> </v>
      </c>
    </row>
    <row r="179" s="0" ht="18" customHeight="0" customFormat="0">
      <c r="A179" t="s">
        <v>2</v>
      </c>
      <c r="B179" t="str" s="20">
        <f>IF(ROW(B179)&lt;LoanPeriod*12+ROW($B$9)-1,EDATE(B178,1)," ")</f>
        <v> </v>
      </c>
      <c r="C179" t="str" s="21">
        <f>IF(ROW(B179)&lt;LoanPeriod*12+ROW($B$9)-1,G178," ")</f>
        <v> </v>
      </c>
      <c r="D179" t="str" s="21">
        <f>IF(ROW(C179)&lt;LoanPeriod*12+ROW($B$9)-1,MonthlyPayment," ")</f>
        <v> </v>
      </c>
      <c r="E179" t="str" s="21">
        <f>IF(ROW(C179)&lt;LoanPeriod*12+ROW($B$9)-1,C179*InterestRate/100/12," ")</f>
        <v> </v>
      </c>
      <c r="F179" t="str" s="21">
        <f>IF(ROW(B179)&lt;LoanPeriod*12+ROW($B$9)-1,D179-E179," ")</f>
        <v> </v>
      </c>
      <c r="G179" t="str" s="21">
        <f>IF(ROW(C179)&lt;LoanPeriod*12+ROW($B$9)-1,C179-F179," ")</f>
        <v> </v>
      </c>
    </row>
    <row r="180" s="0" ht="18" customHeight="0" customFormat="0">
      <c r="A180" t="s">
        <v>2</v>
      </c>
      <c r="B180" t="str" s="20">
        <f>IF(ROW(B180)&lt;LoanPeriod*12+ROW($B$9)-1,EDATE(B179,1)," ")</f>
        <v> </v>
      </c>
      <c r="C180" t="str" s="21">
        <f>IF(ROW(B180)&lt;LoanPeriod*12+ROW($B$9)-1,G179," ")</f>
        <v> </v>
      </c>
      <c r="D180" t="str" s="21">
        <f>IF(ROW(C180)&lt;LoanPeriod*12+ROW($B$9)-1,MonthlyPayment," ")</f>
        <v> </v>
      </c>
      <c r="E180" t="str" s="21">
        <f>IF(ROW(C180)&lt;LoanPeriod*12+ROW($B$9)-1,C180*InterestRate/100/12," ")</f>
        <v> </v>
      </c>
      <c r="F180" t="str" s="21">
        <f>IF(ROW(B180)&lt;LoanPeriod*12+ROW($B$9)-1,D180-E180," ")</f>
        <v> </v>
      </c>
      <c r="G180" t="str" s="21">
        <f>IF(ROW(C180)&lt;LoanPeriod*12+ROW($B$9)-1,C180-F180," ")</f>
        <v> </v>
      </c>
    </row>
    <row r="181" s="0" ht="18" customHeight="0" customFormat="0">
      <c r="A181" t="s">
        <v>2</v>
      </c>
      <c r="B181" t="str" s="20">
        <f>IF(ROW(B181)&lt;LoanPeriod*12+ROW($B$9)-1,EDATE(B180,1)," ")</f>
        <v> </v>
      </c>
      <c r="C181" t="str" s="21">
        <f>IF(ROW(B181)&lt;LoanPeriod*12+ROW($B$9)-1,G180," ")</f>
        <v> </v>
      </c>
      <c r="D181" t="str" s="21">
        <f>IF(ROW(C181)&lt;LoanPeriod*12+ROW($B$9)-1,MonthlyPayment," ")</f>
        <v> </v>
      </c>
      <c r="E181" t="str" s="21">
        <f>IF(ROW(C181)&lt;LoanPeriod*12+ROW($B$9)-1,C181*InterestRate/100/12," ")</f>
        <v> </v>
      </c>
      <c r="F181" t="str" s="21">
        <f>IF(ROW(B181)&lt;LoanPeriod*12+ROW($B$9)-1,D181-E181," ")</f>
        <v> </v>
      </c>
      <c r="G181" t="str" s="21">
        <f>IF(ROW(C181)&lt;LoanPeriod*12+ROW($B$9)-1,C181-F181," ")</f>
        <v> </v>
      </c>
    </row>
    <row r="182" s="0" ht="18" customHeight="0" customFormat="0">
      <c r="A182" t="s">
        <v>2</v>
      </c>
      <c r="B182" t="str" s="20">
        <f>IF(ROW(B182)&lt;LoanPeriod*12+ROW($B$9)-1,EDATE(B181,1)," ")</f>
        <v> </v>
      </c>
      <c r="C182" t="str" s="21">
        <f>IF(ROW(B182)&lt;LoanPeriod*12+ROW($B$9)-1,G181," ")</f>
        <v> </v>
      </c>
      <c r="D182" t="str" s="21">
        <f>IF(ROW(C182)&lt;LoanPeriod*12+ROW($B$9)-1,MonthlyPayment," ")</f>
        <v> </v>
      </c>
      <c r="E182" t="str" s="21">
        <f>IF(ROW(C182)&lt;LoanPeriod*12+ROW($B$9)-1,C182*InterestRate/100/12," ")</f>
        <v> </v>
      </c>
      <c r="F182" t="str" s="21">
        <f>IF(ROW(B182)&lt;LoanPeriod*12+ROW($B$9)-1,D182-E182," ")</f>
        <v> </v>
      </c>
      <c r="G182" t="str" s="21">
        <f>IF(ROW(C182)&lt;LoanPeriod*12+ROW($B$9)-1,C182-F182," ")</f>
        <v> </v>
      </c>
    </row>
    <row r="183" s="0" ht="18" customHeight="0" customFormat="0">
      <c r="A183" t="s">
        <v>2</v>
      </c>
      <c r="B183" t="str" s="20">
        <f>IF(ROW(B183)&lt;LoanPeriod*12+ROW($B$9)-1,EDATE(B182,1)," ")</f>
        <v> </v>
      </c>
      <c r="C183" t="str" s="21">
        <f>IF(ROW(B183)&lt;LoanPeriod*12+ROW($B$9)-1,G182," ")</f>
        <v> </v>
      </c>
      <c r="D183" t="str" s="21">
        <f>IF(ROW(C183)&lt;LoanPeriod*12+ROW($B$9)-1,MonthlyPayment," ")</f>
        <v> </v>
      </c>
      <c r="E183" t="str" s="21">
        <f>IF(ROW(C183)&lt;LoanPeriod*12+ROW($B$9)-1,C183*InterestRate/100/12," ")</f>
        <v> </v>
      </c>
      <c r="F183" t="str" s="21">
        <f>IF(ROW(B183)&lt;LoanPeriod*12+ROW($B$9)-1,D183-E183," ")</f>
        <v> </v>
      </c>
      <c r="G183" t="str" s="21">
        <f>IF(ROW(C183)&lt;LoanPeriod*12+ROW($B$9)-1,C183-F183," ")</f>
        <v> </v>
      </c>
    </row>
    <row r="184" s="0" ht="18" customHeight="0" customFormat="0">
      <c r="A184" t="s">
        <v>2</v>
      </c>
      <c r="B184" t="str" s="20">
        <f>IF(ROW(B184)&lt;LoanPeriod*12+ROW($B$9)-1,EDATE(B183,1)," ")</f>
        <v> </v>
      </c>
      <c r="C184" t="str" s="21">
        <f>IF(ROW(B184)&lt;LoanPeriod*12+ROW($B$9)-1,G183," ")</f>
        <v> </v>
      </c>
      <c r="D184" t="str" s="21">
        <f>IF(ROW(C184)&lt;LoanPeriod*12+ROW($B$9)-1,MonthlyPayment," ")</f>
        <v> </v>
      </c>
      <c r="E184" t="str" s="21">
        <f>IF(ROW(C184)&lt;LoanPeriod*12+ROW($B$9)-1,C184*InterestRate/100/12," ")</f>
        <v> </v>
      </c>
      <c r="F184" t="str" s="21">
        <f>IF(ROW(B184)&lt;LoanPeriod*12+ROW($B$9)-1,D184-E184," ")</f>
        <v> </v>
      </c>
      <c r="G184" t="str" s="21">
        <f>IF(ROW(C184)&lt;LoanPeriod*12+ROW($B$9)-1,C184-F184," ")</f>
        <v> </v>
      </c>
    </row>
    <row r="185" s="0" ht="18" customHeight="0" customFormat="0">
      <c r="A185" t="s">
        <v>2</v>
      </c>
      <c r="B185" t="str" s="20">
        <f>IF(ROW(B185)&lt;LoanPeriod*12+ROW($B$9)-1,EDATE(B184,1)," ")</f>
        <v> </v>
      </c>
      <c r="C185" t="str" s="21">
        <f>IF(ROW(B185)&lt;LoanPeriod*12+ROW($B$9)-1,G184," ")</f>
        <v> </v>
      </c>
      <c r="D185" t="str" s="21">
        <f>IF(ROW(C185)&lt;LoanPeriod*12+ROW($B$9)-1,MonthlyPayment," ")</f>
        <v> </v>
      </c>
      <c r="E185" t="str" s="21">
        <f>IF(ROW(C185)&lt;LoanPeriod*12+ROW($B$9)-1,C185*InterestRate/100/12," ")</f>
        <v> </v>
      </c>
      <c r="F185" t="str" s="21">
        <f>IF(ROW(B185)&lt;LoanPeriod*12+ROW($B$9)-1,D185-E185," ")</f>
        <v> </v>
      </c>
      <c r="G185" t="str" s="21">
        <f>IF(ROW(C185)&lt;LoanPeriod*12+ROW($B$9)-1,C185-F185," ")</f>
        <v> </v>
      </c>
    </row>
    <row r="186" s="0" ht="18" customHeight="0" customFormat="0">
      <c r="A186" t="s">
        <v>2</v>
      </c>
      <c r="B186" t="str" s="20">
        <f>IF(ROW(B186)&lt;LoanPeriod*12+ROW($B$9)-1,EDATE(B185,1)," ")</f>
        <v> </v>
      </c>
      <c r="C186" t="str" s="21">
        <f>IF(ROW(B186)&lt;LoanPeriod*12+ROW($B$9)-1,G185," ")</f>
        <v> </v>
      </c>
      <c r="D186" t="str" s="21">
        <f>IF(ROW(C186)&lt;LoanPeriod*12+ROW($B$9)-1,MonthlyPayment," ")</f>
        <v> </v>
      </c>
      <c r="E186" t="str" s="21">
        <f>IF(ROW(C186)&lt;LoanPeriod*12+ROW($B$9)-1,C186*InterestRate/100/12," ")</f>
        <v> </v>
      </c>
      <c r="F186" t="str" s="21">
        <f>IF(ROW(B186)&lt;LoanPeriod*12+ROW($B$9)-1,D186-E186," ")</f>
        <v> </v>
      </c>
      <c r="G186" t="str" s="21">
        <f>IF(ROW(C186)&lt;LoanPeriod*12+ROW($B$9)-1,C186-F186," ")</f>
        <v> </v>
      </c>
    </row>
    <row r="187" s="0" ht="18" customHeight="0" customFormat="0">
      <c r="A187" t="s">
        <v>2</v>
      </c>
      <c r="B187" t="str" s="20">
        <f>IF(ROW(B187)&lt;LoanPeriod*12+ROW($B$9)-1,EDATE(B186,1)," ")</f>
        <v> </v>
      </c>
      <c r="C187" t="str" s="21">
        <f>IF(ROW(B187)&lt;LoanPeriod*12+ROW($B$9)-1,G186," ")</f>
        <v> </v>
      </c>
      <c r="D187" t="str" s="21">
        <f>IF(ROW(C187)&lt;LoanPeriod*12+ROW($B$9)-1,MonthlyPayment," ")</f>
        <v> </v>
      </c>
      <c r="E187" t="str" s="21">
        <f>IF(ROW(C187)&lt;LoanPeriod*12+ROW($B$9)-1,C187*InterestRate/100/12," ")</f>
        <v> </v>
      </c>
      <c r="F187" t="str" s="21">
        <f>IF(ROW(B187)&lt;LoanPeriod*12+ROW($B$9)-1,D187-E187," ")</f>
        <v> </v>
      </c>
      <c r="G187" t="str" s="21">
        <f>IF(ROW(C187)&lt;LoanPeriod*12+ROW($B$9)-1,C187-F187," ")</f>
        <v> </v>
      </c>
    </row>
    <row r="188" s="0" ht="18" customHeight="0" customFormat="0">
      <c r="A188" t="s">
        <v>2</v>
      </c>
      <c r="B188" t="str" s="20">
        <f>IF(ROW(B188)&lt;LoanPeriod*12+ROW($B$9)-1,EDATE(B187,1)," ")</f>
        <v> </v>
      </c>
      <c r="C188" t="str" s="21">
        <f>IF(ROW(B188)&lt;LoanPeriod*12+ROW($B$9)-1,G187," ")</f>
        <v> </v>
      </c>
      <c r="D188" t="str" s="21">
        <f>IF(ROW(C188)&lt;LoanPeriod*12+ROW($B$9)-1,MonthlyPayment," ")</f>
        <v> </v>
      </c>
      <c r="E188" t="str" s="21">
        <f>IF(ROW(C188)&lt;LoanPeriod*12+ROW($B$9)-1,C188*InterestRate/100/12," ")</f>
        <v> </v>
      </c>
      <c r="F188" t="str" s="21">
        <f>IF(ROW(B188)&lt;LoanPeriod*12+ROW($B$9)-1,D188-E188," ")</f>
        <v> </v>
      </c>
      <c r="G188" t="str" s="21">
        <f>IF(ROW(C188)&lt;LoanPeriod*12+ROW($B$9)-1,C188-F188," ")</f>
        <v> </v>
      </c>
    </row>
    <row r="189" s="0" ht="18" customHeight="0" customFormat="0">
      <c r="A189" t="s">
        <v>2</v>
      </c>
      <c r="B189" t="str" s="20">
        <f>IF(ROW(B189)&lt;LoanPeriod*12+ROW($B$9)-1,EDATE(B188,1)," ")</f>
        <v> </v>
      </c>
      <c r="C189" t="str" s="21">
        <f>IF(ROW(B189)&lt;LoanPeriod*12+ROW($B$9)-1,G188," ")</f>
        <v> </v>
      </c>
      <c r="D189" t="str" s="21">
        <f>IF(ROW(C189)&lt;LoanPeriod*12+ROW($B$9)-1,MonthlyPayment," ")</f>
        <v> </v>
      </c>
      <c r="E189" t="str" s="21">
        <f>IF(ROW(C189)&lt;LoanPeriod*12+ROW($B$9)-1,C189*InterestRate/100/12," ")</f>
        <v> </v>
      </c>
      <c r="F189" t="str" s="21">
        <f>IF(ROW(B189)&lt;LoanPeriod*12+ROW($B$9)-1,D189-E189," ")</f>
        <v> </v>
      </c>
      <c r="G189" t="str" s="21">
        <f>IF(ROW(C189)&lt;LoanPeriod*12+ROW($B$9)-1,C189-F189," ")</f>
        <v> </v>
      </c>
    </row>
    <row r="190" s="0" ht="18" customHeight="0" customFormat="0">
      <c r="A190" t="s">
        <v>2</v>
      </c>
      <c r="B190" t="str" s="20">
        <f>IF(ROW(B190)&lt;LoanPeriod*12+ROW($B$9)-1,EDATE(B189,1)," ")</f>
        <v> </v>
      </c>
      <c r="C190" t="str" s="21">
        <f>IF(ROW(B190)&lt;LoanPeriod*12+ROW($B$9)-1,G189," ")</f>
        <v> </v>
      </c>
      <c r="D190" t="str" s="21">
        <f>IF(ROW(C190)&lt;LoanPeriod*12+ROW($B$9)-1,MonthlyPayment," ")</f>
        <v> </v>
      </c>
      <c r="E190" t="str" s="21">
        <f>IF(ROW(C190)&lt;LoanPeriod*12+ROW($B$9)-1,C190*InterestRate/100/12," ")</f>
        <v> </v>
      </c>
      <c r="F190" t="str" s="21">
        <f>IF(ROW(B190)&lt;LoanPeriod*12+ROW($B$9)-1,D190-E190," ")</f>
        <v> </v>
      </c>
      <c r="G190" t="str" s="21">
        <f>IF(ROW(C190)&lt;LoanPeriod*12+ROW($B$9)-1,C190-F190," ")</f>
        <v> </v>
      </c>
    </row>
    <row r="191" s="0" ht="18" customHeight="0" customFormat="0">
      <c r="A191" t="s">
        <v>2</v>
      </c>
      <c r="B191" t="str" s="20">
        <f>IF(ROW(B191)&lt;LoanPeriod*12+ROW($B$9)-1,EDATE(B190,1)," ")</f>
        <v> </v>
      </c>
      <c r="C191" t="str" s="21">
        <f>IF(ROW(B191)&lt;LoanPeriod*12+ROW($B$9)-1,G190," ")</f>
        <v> </v>
      </c>
      <c r="D191" t="str" s="21">
        <f>IF(ROW(C191)&lt;LoanPeriod*12+ROW($B$9)-1,MonthlyPayment," ")</f>
        <v> </v>
      </c>
      <c r="E191" t="str" s="21">
        <f>IF(ROW(C191)&lt;LoanPeriod*12+ROW($B$9)-1,C191*InterestRate/100/12," ")</f>
        <v> </v>
      </c>
      <c r="F191" t="str" s="21">
        <f>IF(ROW(B191)&lt;LoanPeriod*12+ROW($B$9)-1,D191-E191," ")</f>
        <v> </v>
      </c>
      <c r="G191" t="str" s="21">
        <f>IF(ROW(C191)&lt;LoanPeriod*12+ROW($B$9)-1,C191-F191," ")</f>
        <v> </v>
      </c>
    </row>
    <row r="192" s="0" ht="18" customHeight="0" customFormat="0">
      <c r="A192" t="s">
        <v>2</v>
      </c>
      <c r="B192" t="str" s="20">
        <f>IF(ROW(B192)&lt;LoanPeriod*12+ROW($B$9)-1,EDATE(B191,1)," ")</f>
        <v> </v>
      </c>
      <c r="C192" t="str" s="21">
        <f>IF(ROW(B192)&lt;LoanPeriod*12+ROW($B$9)-1,G191," ")</f>
        <v> </v>
      </c>
      <c r="D192" t="str" s="21">
        <f>IF(ROW(C192)&lt;LoanPeriod*12+ROW($B$9)-1,MonthlyPayment," ")</f>
        <v> </v>
      </c>
      <c r="E192" t="str" s="21">
        <f>IF(ROW(C192)&lt;LoanPeriod*12+ROW($B$9)-1,C192*InterestRate/100/12," ")</f>
        <v> </v>
      </c>
      <c r="F192" t="str" s="21">
        <f>IF(ROW(B192)&lt;LoanPeriod*12+ROW($B$9)-1,D192-E192," ")</f>
        <v> </v>
      </c>
      <c r="G192" t="str" s="21">
        <f>IF(ROW(C192)&lt;LoanPeriod*12+ROW($B$9)-1,C192-F192," ")</f>
        <v> </v>
      </c>
    </row>
    <row r="193" s="0" ht="18" customHeight="0" customFormat="0">
      <c r="A193" t="s">
        <v>2</v>
      </c>
      <c r="B193" t="str" s="20">
        <f>IF(ROW(B193)&lt;LoanPeriod*12+ROW($B$9)-1,EDATE(B192,1)," ")</f>
        <v> </v>
      </c>
      <c r="C193" t="str" s="21">
        <f>IF(ROW(B193)&lt;LoanPeriod*12+ROW($B$9)-1,G192," ")</f>
        <v> </v>
      </c>
      <c r="D193" t="str" s="21">
        <f>IF(ROW(C193)&lt;LoanPeriod*12+ROW($B$9)-1,MonthlyPayment," ")</f>
        <v> </v>
      </c>
      <c r="E193" t="str" s="21">
        <f>IF(ROW(C193)&lt;LoanPeriod*12+ROW($B$9)-1,C193*InterestRate/100/12," ")</f>
        <v> </v>
      </c>
      <c r="F193" t="str" s="21">
        <f>IF(ROW(B193)&lt;LoanPeriod*12+ROW($B$9)-1,D193-E193," ")</f>
        <v> </v>
      </c>
      <c r="G193" t="str" s="21">
        <f>IF(ROW(C193)&lt;LoanPeriod*12+ROW($B$9)-1,C193-F193," ")</f>
        <v> </v>
      </c>
    </row>
    <row r="194" s="0" ht="18" customHeight="0" customFormat="0">
      <c r="A194" t="s">
        <v>2</v>
      </c>
      <c r="B194" t="str" s="20">
        <f>IF(ROW(B194)&lt;LoanPeriod*12+ROW($B$9)-1,EDATE(B193,1)," ")</f>
        <v> </v>
      </c>
      <c r="C194" t="str" s="21">
        <f>IF(ROW(B194)&lt;LoanPeriod*12+ROW($B$9)-1,G193," ")</f>
        <v> </v>
      </c>
      <c r="D194" t="str" s="21">
        <f>IF(ROW(C194)&lt;LoanPeriod*12+ROW($B$9)-1,MonthlyPayment," ")</f>
        <v> </v>
      </c>
      <c r="E194" t="str" s="21">
        <f>IF(ROW(C194)&lt;LoanPeriod*12+ROW($B$9)-1,C194*InterestRate/100/12," ")</f>
        <v> </v>
      </c>
      <c r="F194" t="str" s="21">
        <f>IF(ROW(B194)&lt;LoanPeriod*12+ROW($B$9)-1,D194-E194," ")</f>
        <v> </v>
      </c>
      <c r="G194" t="str" s="21">
        <f>IF(ROW(C194)&lt;LoanPeriod*12+ROW($B$9)-1,C194-F194," ")</f>
        <v> </v>
      </c>
    </row>
    <row r="195" s="0" ht="18" customHeight="0" customFormat="0">
      <c r="A195" t="s">
        <v>2</v>
      </c>
      <c r="B195" t="str" s="20">
        <f>IF(ROW(B195)&lt;LoanPeriod*12+ROW($B$9)-1,EDATE(B194,1)," ")</f>
        <v> </v>
      </c>
      <c r="C195" t="str" s="21">
        <f>IF(ROW(B195)&lt;LoanPeriod*12+ROW($B$9)-1,G194," ")</f>
        <v> </v>
      </c>
      <c r="D195" t="str" s="21">
        <f>IF(ROW(C195)&lt;LoanPeriod*12+ROW($B$9)-1,MonthlyPayment," ")</f>
        <v> </v>
      </c>
      <c r="E195" t="str" s="21">
        <f>IF(ROW(C195)&lt;LoanPeriod*12+ROW($B$9)-1,C195*InterestRate/100/12," ")</f>
        <v> </v>
      </c>
      <c r="F195" t="str" s="21">
        <f>IF(ROW(B195)&lt;LoanPeriod*12+ROW($B$9)-1,D195-E195," ")</f>
        <v> </v>
      </c>
      <c r="G195" t="str" s="21">
        <f>IF(ROW(C195)&lt;LoanPeriod*12+ROW($B$9)-1,C195-F195," ")</f>
        <v> </v>
      </c>
    </row>
    <row r="196" s="0" ht="18" customHeight="0" customFormat="0">
      <c r="A196" t="s">
        <v>2</v>
      </c>
      <c r="B196" t="str" s="20">
        <f>IF(ROW(B196)&lt;LoanPeriod*12+ROW($B$9)-1,EDATE(B195,1)," ")</f>
        <v> </v>
      </c>
      <c r="C196" t="str" s="21">
        <f>IF(ROW(B196)&lt;LoanPeriod*12+ROW($B$9)-1,G195," ")</f>
        <v> </v>
      </c>
      <c r="D196" t="str" s="21">
        <f>IF(ROW(C196)&lt;LoanPeriod*12+ROW($B$9)-1,MonthlyPayment," ")</f>
        <v> </v>
      </c>
      <c r="E196" t="str" s="21">
        <f>IF(ROW(C196)&lt;LoanPeriod*12+ROW($B$9)-1,C196*InterestRate/100/12," ")</f>
        <v> </v>
      </c>
      <c r="F196" t="str" s="21">
        <f>IF(ROW(B196)&lt;LoanPeriod*12+ROW($B$9)-1,D196-E196," ")</f>
        <v> </v>
      </c>
      <c r="G196" t="str" s="21">
        <f>IF(ROW(C196)&lt;LoanPeriod*12+ROW($B$9)-1,C196-F196," ")</f>
        <v> </v>
      </c>
    </row>
    <row r="197" s="0" ht="18" customHeight="0" customFormat="0">
      <c r="A197" t="s">
        <v>2</v>
      </c>
      <c r="B197" t="str" s="20">
        <f>IF(ROW(B197)&lt;LoanPeriod*12+ROW($B$9)-1,EDATE(B196,1)," ")</f>
        <v> </v>
      </c>
      <c r="C197" t="str" s="21">
        <f>IF(ROW(B197)&lt;LoanPeriod*12+ROW($B$9)-1,G196," ")</f>
        <v> </v>
      </c>
      <c r="D197" t="str" s="21">
        <f>IF(ROW(C197)&lt;LoanPeriod*12+ROW($B$9)-1,MonthlyPayment," ")</f>
        <v> </v>
      </c>
      <c r="E197" t="str" s="21">
        <f>IF(ROW(C197)&lt;LoanPeriod*12+ROW($B$9)-1,C197*InterestRate/100/12," ")</f>
        <v> </v>
      </c>
      <c r="F197" t="str" s="21">
        <f>IF(ROW(B197)&lt;LoanPeriod*12+ROW($B$9)-1,D197-E197," ")</f>
        <v> </v>
      </c>
      <c r="G197" t="str" s="21">
        <f>IF(ROW(C197)&lt;LoanPeriod*12+ROW($B$9)-1,C197-F197," ")</f>
        <v> </v>
      </c>
    </row>
    <row r="198" s="0" ht="18" customHeight="0" customFormat="0">
      <c r="A198" t="s">
        <v>2</v>
      </c>
      <c r="B198" t="str" s="20">
        <f>IF(ROW(B198)&lt;LoanPeriod*12+ROW($B$9)-1,EDATE(B197,1)," ")</f>
        <v> </v>
      </c>
      <c r="C198" t="str" s="21">
        <f>IF(ROW(B198)&lt;LoanPeriod*12+ROW($B$9)-1,G197," ")</f>
        <v> </v>
      </c>
      <c r="D198" t="str" s="21">
        <f>IF(ROW(C198)&lt;LoanPeriod*12+ROW($B$9)-1,MonthlyPayment," ")</f>
        <v> </v>
      </c>
      <c r="E198" t="str" s="21">
        <f>IF(ROW(C198)&lt;LoanPeriod*12+ROW($B$9)-1,C198*InterestRate/100/12," ")</f>
        <v> </v>
      </c>
      <c r="F198" t="str" s="21">
        <f>IF(ROW(B198)&lt;LoanPeriod*12+ROW($B$9)-1,D198-E198," ")</f>
        <v> </v>
      </c>
      <c r="G198" t="str" s="21">
        <f>IF(ROW(C198)&lt;LoanPeriod*12+ROW($B$9)-1,C198-F198," ")</f>
        <v> </v>
      </c>
    </row>
    <row r="199" s="0" ht="18" customHeight="0" customFormat="0">
      <c r="A199" t="s">
        <v>2</v>
      </c>
      <c r="B199" t="str" s="20">
        <f>IF(ROW(B199)&lt;LoanPeriod*12+ROW($B$9)-1,EDATE(B198,1)," ")</f>
        <v> </v>
      </c>
      <c r="C199" t="str" s="21">
        <f>IF(ROW(B199)&lt;LoanPeriod*12+ROW($B$9)-1,G198," ")</f>
        <v> </v>
      </c>
      <c r="D199" t="str" s="21">
        <f>IF(ROW(C199)&lt;LoanPeriod*12+ROW($B$9)-1,MonthlyPayment," ")</f>
        <v> </v>
      </c>
      <c r="E199" t="str" s="21">
        <f>IF(ROW(C199)&lt;LoanPeriod*12+ROW($B$9)-1,C199*InterestRate/100/12," ")</f>
        <v> </v>
      </c>
      <c r="F199" t="str" s="21">
        <f>IF(ROW(B199)&lt;LoanPeriod*12+ROW($B$9)-1,D199-E199," ")</f>
        <v> </v>
      </c>
      <c r="G199" t="str" s="21">
        <f>IF(ROW(C199)&lt;LoanPeriod*12+ROW($B$9)-1,C199-F199," ")</f>
        <v> </v>
      </c>
    </row>
    <row r="200" s="0" ht="18" customHeight="0" customFormat="0">
      <c r="A200" t="s">
        <v>2</v>
      </c>
      <c r="B200" t="str" s="20">
        <f>IF(ROW(B200)&lt;LoanPeriod*12+ROW($B$9)-1,EDATE(B199,1)," ")</f>
        <v> </v>
      </c>
      <c r="C200" t="str" s="21">
        <f>IF(ROW(B200)&lt;LoanPeriod*12+ROW($B$9)-1,G199," ")</f>
        <v> </v>
      </c>
      <c r="D200" t="str" s="21">
        <f>IF(ROW(C200)&lt;LoanPeriod*12+ROW($B$9)-1,MonthlyPayment," ")</f>
        <v> </v>
      </c>
      <c r="E200" t="str" s="21">
        <f>IF(ROW(C200)&lt;LoanPeriod*12+ROW($B$9)-1,C200*InterestRate/100/12," ")</f>
        <v> </v>
      </c>
      <c r="F200" t="str" s="21">
        <f>IF(ROW(B200)&lt;LoanPeriod*12+ROW($B$9)-1,D200-E200," ")</f>
        <v> </v>
      </c>
      <c r="G200" t="str" s="21">
        <f>IF(ROW(C200)&lt;LoanPeriod*12+ROW($B$9)-1,C200-F200," ")</f>
        <v> </v>
      </c>
    </row>
    <row r="201" s="0" ht="18" customHeight="0" customFormat="0">
      <c r="A201" t="s">
        <v>2</v>
      </c>
      <c r="B201" t="str" s="20">
        <f>IF(ROW(B201)&lt;LoanPeriod*12+ROW($B$9)-1,EDATE(B200,1)," ")</f>
        <v> </v>
      </c>
      <c r="C201" t="str" s="21">
        <f>IF(ROW(B201)&lt;LoanPeriod*12+ROW($B$9)-1,G200," ")</f>
        <v> </v>
      </c>
      <c r="D201" t="str" s="21">
        <f>IF(ROW(C201)&lt;LoanPeriod*12+ROW($B$9)-1,MonthlyPayment," ")</f>
        <v> </v>
      </c>
      <c r="E201" t="str" s="21">
        <f>IF(ROW(C201)&lt;LoanPeriod*12+ROW($B$9)-1,C201*InterestRate/100/12," ")</f>
        <v> </v>
      </c>
      <c r="F201" t="str" s="21">
        <f>IF(ROW(B201)&lt;LoanPeriod*12+ROW($B$9)-1,D201-E201," ")</f>
        <v> </v>
      </c>
      <c r="G201" t="str" s="21">
        <f>IF(ROW(C201)&lt;LoanPeriod*12+ROW($B$9)-1,C201-F201," ")</f>
        <v> </v>
      </c>
    </row>
    <row r="202" s="0" ht="18" customHeight="0" customFormat="0">
      <c r="A202" t="s">
        <v>2</v>
      </c>
      <c r="B202" t="str" s="20">
        <f>IF(ROW(B202)&lt;LoanPeriod*12+ROW($B$9)-1,EDATE(B201,1)," ")</f>
        <v> </v>
      </c>
      <c r="C202" t="str" s="21">
        <f>IF(ROW(B202)&lt;LoanPeriod*12+ROW($B$9)-1,G201," ")</f>
        <v> </v>
      </c>
      <c r="D202" t="str" s="21">
        <f>IF(ROW(C202)&lt;LoanPeriod*12+ROW($B$9)-1,MonthlyPayment," ")</f>
        <v> </v>
      </c>
      <c r="E202" t="str" s="21">
        <f>IF(ROW(C202)&lt;LoanPeriod*12+ROW($B$9)-1,C202*InterestRate/100/12," ")</f>
        <v> </v>
      </c>
      <c r="F202" t="str" s="21">
        <f>IF(ROW(B202)&lt;LoanPeriod*12+ROW($B$9)-1,D202-E202," ")</f>
        <v> </v>
      </c>
      <c r="G202" t="str" s="21">
        <f>IF(ROW(C202)&lt;LoanPeriod*12+ROW($B$9)-1,C202-F202," ")</f>
        <v> </v>
      </c>
    </row>
    <row r="203" s="0" ht="18" customHeight="0" customFormat="0">
      <c r="A203" t="s">
        <v>2</v>
      </c>
      <c r="B203" t="str" s="20">
        <f>IF(ROW(B203)&lt;LoanPeriod*12+ROW($B$9)-1,EDATE(B202,1)," ")</f>
        <v> </v>
      </c>
      <c r="C203" t="str" s="21">
        <f>IF(ROW(B203)&lt;LoanPeriod*12+ROW($B$9)-1,G202," ")</f>
        <v> </v>
      </c>
      <c r="D203" t="str" s="21">
        <f>IF(ROW(C203)&lt;LoanPeriod*12+ROW($B$9)-1,MonthlyPayment," ")</f>
        <v> </v>
      </c>
      <c r="E203" t="str" s="21">
        <f>IF(ROW(C203)&lt;LoanPeriod*12+ROW($B$9)-1,C203*InterestRate/100/12," ")</f>
        <v> </v>
      </c>
      <c r="F203" t="str" s="21">
        <f>IF(ROW(B203)&lt;LoanPeriod*12+ROW($B$9)-1,D203-E203," ")</f>
        <v> </v>
      </c>
      <c r="G203" t="str" s="21">
        <f>IF(ROW(C203)&lt;LoanPeriod*12+ROW($B$9)-1,C203-F203," ")</f>
        <v> </v>
      </c>
    </row>
    <row r="204" s="0" ht="18" customHeight="0" customFormat="0">
      <c r="A204" t="s">
        <v>2</v>
      </c>
      <c r="B204" t="str" s="20">
        <f>IF(ROW(B204)&lt;LoanPeriod*12+ROW($B$9)-1,EDATE(B203,1)," ")</f>
        <v> </v>
      </c>
      <c r="C204" t="str" s="21">
        <f>IF(ROW(B204)&lt;LoanPeriod*12+ROW($B$9)-1,G203," ")</f>
        <v> </v>
      </c>
      <c r="D204" t="str" s="21">
        <f>IF(ROW(C204)&lt;LoanPeriod*12+ROW($B$9)-1,MonthlyPayment," ")</f>
        <v> </v>
      </c>
      <c r="E204" t="str" s="21">
        <f>IF(ROW(C204)&lt;LoanPeriod*12+ROW($B$9)-1,C204*InterestRate/100/12," ")</f>
        <v> </v>
      </c>
      <c r="F204" t="str" s="21">
        <f>IF(ROW(B204)&lt;LoanPeriod*12+ROW($B$9)-1,D204-E204," ")</f>
        <v> </v>
      </c>
      <c r="G204" t="str" s="21">
        <f>IF(ROW(C204)&lt;LoanPeriod*12+ROW($B$9)-1,C204-F204," ")</f>
        <v> </v>
      </c>
    </row>
    <row r="205" s="0" ht="18" customHeight="0" customFormat="0">
      <c r="A205" t="s">
        <v>2</v>
      </c>
      <c r="B205" t="str" s="20">
        <f>IF(ROW(B205)&lt;LoanPeriod*12+ROW($B$9)-1,EDATE(B204,1)," ")</f>
        <v> </v>
      </c>
      <c r="C205" t="str" s="21">
        <f>IF(ROW(B205)&lt;LoanPeriod*12+ROW($B$9)-1,G204," ")</f>
        <v> </v>
      </c>
      <c r="D205" t="str" s="21">
        <f>IF(ROW(C205)&lt;LoanPeriod*12+ROW($B$9)-1,MonthlyPayment," ")</f>
        <v> </v>
      </c>
      <c r="E205" t="str" s="21">
        <f>IF(ROW(C205)&lt;LoanPeriod*12+ROW($B$9)-1,C205*InterestRate/100/12," ")</f>
        <v> </v>
      </c>
      <c r="F205" t="str" s="21">
        <f>IF(ROW(B205)&lt;LoanPeriod*12+ROW($B$9)-1,D205-E205," ")</f>
        <v> </v>
      </c>
      <c r="G205" t="str" s="21">
        <f>IF(ROW(C205)&lt;LoanPeriod*12+ROW($B$9)-1,C205-F205," ")</f>
        <v> </v>
      </c>
    </row>
    <row r="206" s="0" ht="18" customHeight="0" customFormat="0">
      <c r="A206" t="s">
        <v>2</v>
      </c>
      <c r="B206" t="str" s="20">
        <f>IF(ROW(B206)&lt;LoanPeriod*12+ROW($B$9)-1,EDATE(B205,1)," ")</f>
        <v> </v>
      </c>
      <c r="C206" t="str" s="21">
        <f>IF(ROW(B206)&lt;LoanPeriod*12+ROW($B$9)-1,G205," ")</f>
        <v> </v>
      </c>
      <c r="D206" t="str" s="21">
        <f>IF(ROW(C206)&lt;LoanPeriod*12+ROW($B$9)-1,MonthlyPayment," ")</f>
        <v> </v>
      </c>
      <c r="E206" t="str" s="21">
        <f>IF(ROW(C206)&lt;LoanPeriod*12+ROW($B$9)-1,C206*InterestRate/100/12," ")</f>
        <v> </v>
      </c>
      <c r="F206" t="str" s="21">
        <f>IF(ROW(B206)&lt;LoanPeriod*12+ROW($B$9)-1,D206-E206," ")</f>
        <v> </v>
      </c>
      <c r="G206" t="str" s="21">
        <f>IF(ROW(C206)&lt;LoanPeriod*12+ROW($B$9)-1,C206-F206," ")</f>
        <v> </v>
      </c>
    </row>
    <row r="207" s="0" ht="18" customHeight="0" customFormat="0">
      <c r="A207" t="s">
        <v>2</v>
      </c>
      <c r="B207" t="str" s="20">
        <f>IF(ROW(B207)&lt;LoanPeriod*12+ROW($B$9)-1,EDATE(B206,1)," ")</f>
        <v> </v>
      </c>
      <c r="C207" t="str" s="21">
        <f>IF(ROW(B207)&lt;LoanPeriod*12+ROW($B$9)-1,G206," ")</f>
        <v> </v>
      </c>
      <c r="D207" t="str" s="21">
        <f>IF(ROW(C207)&lt;LoanPeriod*12+ROW($B$9)-1,MonthlyPayment," ")</f>
        <v> </v>
      </c>
      <c r="E207" t="str" s="21">
        <f>IF(ROW(C207)&lt;LoanPeriod*12+ROW($B$9)-1,C207*InterestRate/100/12," ")</f>
        <v> </v>
      </c>
      <c r="F207" t="str" s="21">
        <f>IF(ROW(B207)&lt;LoanPeriod*12+ROW($B$9)-1,D207-E207," ")</f>
        <v> </v>
      </c>
      <c r="G207" t="str" s="21">
        <f>IF(ROW(C207)&lt;LoanPeriod*12+ROW($B$9)-1,C207-F207," ")</f>
        <v> </v>
      </c>
    </row>
    <row r="208" s="0" ht="18" customHeight="0" customFormat="0">
      <c r="A208" t="s">
        <v>2</v>
      </c>
      <c r="B208" t="str" s="20">
        <f>IF(ROW(B208)&lt;LoanPeriod*12+ROW($B$9)-1,EDATE(B207,1)," ")</f>
        <v> </v>
      </c>
      <c r="C208" t="str" s="21">
        <f>IF(ROW(B208)&lt;LoanPeriod*12+ROW($B$9)-1,G207," ")</f>
        <v> </v>
      </c>
      <c r="D208" t="str" s="21">
        <f>IF(ROW(C208)&lt;LoanPeriod*12+ROW($B$9)-1,MonthlyPayment," ")</f>
        <v> </v>
      </c>
      <c r="E208" t="str" s="21">
        <f>IF(ROW(C208)&lt;LoanPeriod*12+ROW($B$9)-1,C208*InterestRate/100/12," ")</f>
        <v> </v>
      </c>
      <c r="F208" t="str" s="21">
        <f>IF(ROW(B208)&lt;LoanPeriod*12+ROW($B$9)-1,D208-E208," ")</f>
        <v> </v>
      </c>
      <c r="G208" t="str" s="21">
        <f>IF(ROW(C208)&lt;LoanPeriod*12+ROW($B$9)-1,C208-F208," ")</f>
        <v> </v>
      </c>
    </row>
    <row r="209" s="0" ht="18" customHeight="0" customFormat="0">
      <c r="A209" t="s">
        <v>2</v>
      </c>
      <c r="B209" t="str" s="20">
        <f>IF(ROW(B209)&lt;LoanPeriod*12+ROW($B$9)-1,EDATE(B208,1)," ")</f>
        <v> </v>
      </c>
      <c r="C209" t="str" s="21">
        <f>IF(ROW(B209)&lt;LoanPeriod*12+ROW($B$9)-1,G208," ")</f>
        <v> </v>
      </c>
      <c r="D209" t="str" s="21">
        <f>IF(ROW(C209)&lt;LoanPeriod*12+ROW($B$9)-1,MonthlyPayment," ")</f>
        <v> </v>
      </c>
      <c r="E209" t="str" s="21">
        <f>IF(ROW(C209)&lt;LoanPeriod*12+ROW($B$9)-1,C209*InterestRate/100/12," ")</f>
        <v> </v>
      </c>
      <c r="F209" t="str" s="21">
        <f>IF(ROW(B209)&lt;LoanPeriod*12+ROW($B$9)-1,D209-E209," ")</f>
        <v> </v>
      </c>
      <c r="G209" t="str" s="21">
        <f>IF(ROW(C209)&lt;LoanPeriod*12+ROW($B$9)-1,C209-F209," ")</f>
        <v> </v>
      </c>
    </row>
    <row r="210" s="0" ht="18" customHeight="0" customFormat="0">
      <c r="A210" t="s">
        <v>2</v>
      </c>
      <c r="B210" t="str" s="20">
        <f>IF(ROW(B210)&lt;LoanPeriod*12+ROW($B$9)-1,EDATE(B209,1)," ")</f>
        <v> </v>
      </c>
      <c r="C210" t="str" s="21">
        <f>IF(ROW(B210)&lt;LoanPeriod*12+ROW($B$9)-1,G209," ")</f>
        <v> </v>
      </c>
      <c r="D210" t="str" s="21">
        <f>IF(ROW(C210)&lt;LoanPeriod*12+ROW($B$9)-1,MonthlyPayment," ")</f>
        <v> </v>
      </c>
      <c r="E210" t="str" s="21">
        <f>IF(ROW(C210)&lt;LoanPeriod*12+ROW($B$9)-1,C210*InterestRate/100/12," ")</f>
        <v> </v>
      </c>
      <c r="F210" t="str" s="21">
        <f>IF(ROW(B210)&lt;LoanPeriod*12+ROW($B$9)-1,D210-E210," ")</f>
        <v> </v>
      </c>
      <c r="G210" t="str" s="21">
        <f>IF(ROW(C210)&lt;LoanPeriod*12+ROW($B$9)-1,C210-F210," ")</f>
        <v> </v>
      </c>
    </row>
    <row r="211" s="0" ht="18" customHeight="0" customFormat="0">
      <c r="A211" t="s">
        <v>2</v>
      </c>
      <c r="B211" t="str" s="20">
        <f>IF(ROW(B211)&lt;LoanPeriod*12+ROW($B$9)-1,EDATE(B210,1)," ")</f>
        <v> </v>
      </c>
      <c r="C211" t="str" s="21">
        <f>IF(ROW(B211)&lt;LoanPeriod*12+ROW($B$9)-1,G210," ")</f>
        <v> </v>
      </c>
      <c r="D211" t="str" s="21">
        <f>IF(ROW(C211)&lt;LoanPeriod*12+ROW($B$9)-1,MonthlyPayment," ")</f>
        <v> </v>
      </c>
      <c r="E211" t="str" s="21">
        <f>IF(ROW(C211)&lt;LoanPeriod*12+ROW($B$9)-1,C211*InterestRate/100/12," ")</f>
        <v> </v>
      </c>
      <c r="F211" t="str" s="21">
        <f>IF(ROW(B211)&lt;LoanPeriod*12+ROW($B$9)-1,D211-E211," ")</f>
        <v> </v>
      </c>
      <c r="G211" t="str" s="21">
        <f>IF(ROW(C211)&lt;LoanPeriod*12+ROW($B$9)-1,C211-F211," ")</f>
        <v> </v>
      </c>
    </row>
    <row r="212" s="0" ht="18" customHeight="0" customFormat="0">
      <c r="A212" t="s">
        <v>2</v>
      </c>
      <c r="B212" t="str" s="20">
        <f>IF(ROW(B212)&lt;LoanPeriod*12+ROW($B$9)-1,EDATE(B211,1)," ")</f>
        <v> </v>
      </c>
      <c r="C212" t="str" s="21">
        <f>IF(ROW(B212)&lt;LoanPeriod*12+ROW($B$9)-1,G211," ")</f>
        <v> </v>
      </c>
      <c r="D212" t="str" s="21">
        <f>IF(ROW(C212)&lt;LoanPeriod*12+ROW($B$9)-1,MonthlyPayment," ")</f>
        <v> </v>
      </c>
      <c r="E212" t="str" s="21">
        <f>IF(ROW(C212)&lt;LoanPeriod*12+ROW($B$9)-1,C212*InterestRate/100/12," ")</f>
        <v> </v>
      </c>
      <c r="F212" t="str" s="21">
        <f>IF(ROW(B212)&lt;LoanPeriod*12+ROW($B$9)-1,D212-E212," ")</f>
        <v> </v>
      </c>
      <c r="G212" t="str" s="21">
        <f>IF(ROW(C212)&lt;LoanPeriod*12+ROW($B$9)-1,C212-F212," ")</f>
        <v> </v>
      </c>
    </row>
    <row r="213" s="0" ht="18" customHeight="0" customFormat="0">
      <c r="A213" t="s">
        <v>2</v>
      </c>
      <c r="B213" t="str" s="20">
        <f>IF(ROW(B213)&lt;LoanPeriod*12+ROW($B$9)-1,EDATE(B212,1)," ")</f>
        <v> </v>
      </c>
      <c r="C213" t="str" s="21">
        <f>IF(ROW(B213)&lt;LoanPeriod*12+ROW($B$9)-1,G212," ")</f>
        <v> </v>
      </c>
      <c r="D213" t="str" s="21">
        <f>IF(ROW(C213)&lt;LoanPeriod*12+ROW($B$9)-1,MonthlyPayment," ")</f>
        <v> </v>
      </c>
      <c r="E213" t="str" s="21">
        <f>IF(ROW(C213)&lt;LoanPeriod*12+ROW($B$9)-1,C213*InterestRate/100/12," ")</f>
        <v> </v>
      </c>
      <c r="F213" t="str" s="21">
        <f>IF(ROW(B213)&lt;LoanPeriod*12+ROW($B$9)-1,D213-E213," ")</f>
        <v> </v>
      </c>
      <c r="G213" t="str" s="21">
        <f>IF(ROW(C213)&lt;LoanPeriod*12+ROW($B$9)-1,C213-F213," ")</f>
        <v> </v>
      </c>
    </row>
    <row r="214" s="0" ht="18" customHeight="0" customFormat="0">
      <c r="A214" t="s">
        <v>2</v>
      </c>
      <c r="B214" t="str" s="20">
        <f>IF(ROW(B214)&lt;LoanPeriod*12+ROW($B$9)-1,EDATE(B213,1)," ")</f>
        <v> </v>
      </c>
      <c r="C214" t="str" s="21">
        <f>IF(ROW(B214)&lt;LoanPeriod*12+ROW($B$9)-1,G213," ")</f>
        <v> </v>
      </c>
      <c r="D214" t="str" s="21">
        <f>IF(ROW(C214)&lt;LoanPeriod*12+ROW($B$9)-1,MonthlyPayment," ")</f>
        <v> </v>
      </c>
      <c r="E214" t="str" s="21">
        <f>IF(ROW(C214)&lt;LoanPeriod*12+ROW($B$9)-1,C214*InterestRate/100/12," ")</f>
        <v> </v>
      </c>
      <c r="F214" t="str" s="21">
        <f>IF(ROW(B214)&lt;LoanPeriod*12+ROW($B$9)-1,D214-E214," ")</f>
        <v> </v>
      </c>
      <c r="G214" t="str" s="21">
        <f>IF(ROW(C214)&lt;LoanPeriod*12+ROW($B$9)-1,C214-F214," ")</f>
        <v> </v>
      </c>
    </row>
    <row r="215" s="0" ht="18" customHeight="0" customFormat="0">
      <c r="A215" t="s">
        <v>2</v>
      </c>
      <c r="B215" t="str" s="20">
        <f>IF(ROW(B215)&lt;LoanPeriod*12+ROW($B$9)-1,EDATE(B214,1)," ")</f>
        <v> </v>
      </c>
      <c r="C215" t="str" s="21">
        <f>IF(ROW(B215)&lt;LoanPeriod*12+ROW($B$9)-1,G214," ")</f>
        <v> </v>
      </c>
      <c r="D215" t="str" s="21">
        <f>IF(ROW(C215)&lt;LoanPeriod*12+ROW($B$9)-1,MonthlyPayment," ")</f>
        <v> </v>
      </c>
      <c r="E215" t="str" s="21">
        <f>IF(ROW(C215)&lt;LoanPeriod*12+ROW($B$9)-1,C215*InterestRate/100/12," ")</f>
        <v> </v>
      </c>
      <c r="F215" t="str" s="21">
        <f>IF(ROW(B215)&lt;LoanPeriod*12+ROW($B$9)-1,D215-E215," ")</f>
        <v> </v>
      </c>
      <c r="G215" t="str" s="21">
        <f>IF(ROW(C215)&lt;LoanPeriod*12+ROW($B$9)-1,C215-F215," ")</f>
        <v> </v>
      </c>
    </row>
    <row r="216" s="0" ht="18" customHeight="0" customFormat="0">
      <c r="A216" t="s">
        <v>2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</row>
    <row r="217" s="0" ht="18" customHeight="0" customFormat="0">
      <c r="A217" t="s">
        <v>2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2025-06-14T17:44:36Z</dcterms:created>
  <dcterms:modified xsi:type="dcterms:W3CDTF">2025-12-09T15:58:43Z</dcterms:modified>
  <cp:category/>
  <cp:contentStatus/>
</cp:coreProperties>
</file>